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eva.a\Desktop\"/>
    </mc:Choice>
  </mc:AlternateContent>
  <xr:revisionPtr revIDLastSave="0" documentId="8_{D08A26DA-7631-40D0-9413-C6C0E42B6136}" xr6:coauthVersionLast="47" xr6:coauthVersionMax="47" xr10:uidLastSave="{00000000-0000-0000-0000-000000000000}"/>
  <bookViews>
    <workbookView xWindow="-108" yWindow="-108" windowWidth="23256" windowHeight="12576" xr2:uid="{E47E28C5-9A8B-48FD-AB60-99211A7E8B12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2" hidden="1">Лист3!$A$1:$U$62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2" i="3" l="1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</calcChain>
</file>

<file path=xl/sharedStrings.xml><?xml version="1.0" encoding="utf-8"?>
<sst xmlns="http://schemas.openxmlformats.org/spreadsheetml/2006/main" count="554" uniqueCount="132">
  <si>
    <t>Название</t>
  </si>
  <si>
    <t>Бренд</t>
  </si>
  <si>
    <t>Артикул</t>
  </si>
  <si>
    <t>Зубные пасты</t>
  </si>
  <si>
    <t>Elmex</t>
  </si>
  <si>
    <t>ELMEX_caries-protect-N2</t>
  </si>
  <si>
    <t>Дезодоранты</t>
  </si>
  <si>
    <t>DOVE</t>
  </si>
  <si>
    <t>DOVE_BeautyCare_50ml_DEODORANT-N2</t>
  </si>
  <si>
    <t>Маски косметические</t>
  </si>
  <si>
    <t>БЕЛИТА</t>
  </si>
  <si>
    <t>PDS_MASSAGE_HAIR_MASK</t>
  </si>
  <si>
    <t>Скрабы</t>
  </si>
  <si>
    <t>Секреты сибирской травницы</t>
  </si>
  <si>
    <t>SIBERIAN_SECRET_Body_SCRUB-N2</t>
  </si>
  <si>
    <t>Кремы</t>
  </si>
  <si>
    <t>Витэкс</t>
  </si>
  <si>
    <t>VITEKS_MASSAGE_Anticellulite-N2</t>
  </si>
  <si>
    <t>БАРХАТНЫЕ РУЧКИ</t>
  </si>
  <si>
    <t>VelvetHands_cocoa_80ml_hands_CREAM-N3</t>
  </si>
  <si>
    <t>VelvetHands_night_shea_80ml_hands_CREAM-N3</t>
  </si>
  <si>
    <t>Воск для депиляции</t>
  </si>
  <si>
    <t>Lady Caramel</t>
  </si>
  <si>
    <t>CARAMEL_DEPILATION_wax</t>
  </si>
  <si>
    <t>Farm Stay</t>
  </si>
  <si>
    <t>FS_gold_CREAM(80ml)</t>
  </si>
  <si>
    <t>Жидкое мыло</t>
  </si>
  <si>
    <t>Lilea</t>
  </si>
  <si>
    <t>LS_LILEA_ALOE_VERA_5L</t>
  </si>
  <si>
    <t>Носки</t>
  </si>
  <si>
    <t>Yellow Frog</t>
  </si>
  <si>
    <t>YFROG_woman_SOCKS-N3</t>
  </si>
  <si>
    <t>Стиральные порошки</t>
  </si>
  <si>
    <t>Clovin</t>
  </si>
  <si>
    <t>WP_DW_C.G.color(6.5kg)</t>
  </si>
  <si>
    <t>Гирлянды садовые уличные</t>
  </si>
  <si>
    <t>Новогодние украшения для дома (Новый год 2023)</t>
  </si>
  <si>
    <t>CLASSMARK_lamps50_15m_GARLAND-N1</t>
  </si>
  <si>
    <t>Коврики детские</t>
  </si>
  <si>
    <t>Play Okay</t>
  </si>
  <si>
    <t>CHILDREN_play(monkey)_MAT</t>
  </si>
  <si>
    <t>Игровые палатки</t>
  </si>
  <si>
    <t>PLAY_TENT</t>
  </si>
  <si>
    <t>Classmark</t>
  </si>
  <si>
    <t>Фитолампы для растений</t>
  </si>
  <si>
    <t>UVlamp_for-plants</t>
  </si>
  <si>
    <t>Шкатулки</t>
  </si>
  <si>
    <t>CLASSMARK_white_jewelry_CASE-N1</t>
  </si>
  <si>
    <t>Шоколад плиточный</t>
  </si>
  <si>
    <t>Raffaello</t>
  </si>
  <si>
    <t>RAFFAELLO_CHOCOLATE_90g_plate_kokos-N8</t>
  </si>
  <si>
    <t>Кофе молотый</t>
  </si>
  <si>
    <t>Dallmayr</t>
  </si>
  <si>
    <t>DALLMAYR_Prdm(ground)_500g_COFFEE-N2</t>
  </si>
  <si>
    <t>цена</t>
  </si>
  <si>
    <t>Полное название</t>
  </si>
  <si>
    <t>Шоколад белый плиточный с кокосом и миндалем НАБОР 8 шт</t>
  </si>
  <si>
    <t>Продажи, шт</t>
  </si>
  <si>
    <t xml:space="preserve">SKU </t>
  </si>
  <si>
    <t>При необходимости о товаре можно узнать больше на сайте wildberries, воспользовавшись уникальным SKU</t>
  </si>
  <si>
    <t>Зубная паста от КАРИЕСА и БАКТЕРИЙ 2 шт</t>
  </si>
  <si>
    <t>Антиперспирант женский шариковый 50мл х2</t>
  </si>
  <si>
    <t>МАСКА-СКРАБ Массажная PHARMACOS DEAD SEA</t>
  </si>
  <si>
    <t>Скраб для тела отшелушивание 600мл, 2 шт</t>
  </si>
  <si>
    <t>Крем обертывание для похудения 2 шуки</t>
  </si>
  <si>
    <t>Смягчающий крем для рук НАБОР увлажняющий 240 мл + пантенол</t>
  </si>
  <si>
    <t>Ночной питательный крем для рук с коллагеном, НАБОР 240 мл</t>
  </si>
  <si>
    <t>Восковые полоски для депиляции Воск эпиляция для чувствительной кожи Уход за кожей Набор для бикини</t>
  </si>
  <si>
    <t>Крем для лица FARMSTAY от морщин 80 мл</t>
  </si>
  <si>
    <t>Мыло для диспенсера с АЛОЭ ВЕРА 5 Л</t>
  </si>
  <si>
    <t>Набор носки женские 3 ПАРЫ</t>
  </si>
  <si>
    <t>Стиральный порошок автомат 6.5 кг</t>
  </si>
  <si>
    <t>Уличная гирлянда новогодняя ретро декор для праздника 15 м</t>
  </si>
  <si>
    <t>Коврик детский игровой развивающий складной двухсторонний</t>
  </si>
  <si>
    <t>Палатка детская игровая АВТОМАТИЧЕСКАЯ пляжная</t>
  </si>
  <si>
    <t>Фитолампа для растений лампа для рассады</t>
  </si>
  <si>
    <t>Сундук шкатулка для украшений с замком органайзер для колец</t>
  </si>
  <si>
    <t>Кофе молотый Prodomo 1кг (500 грамм х2)</t>
  </si>
  <si>
    <t>Дата</t>
  </si>
  <si>
    <t>Номер недели</t>
  </si>
  <si>
    <t>SKU</t>
  </si>
  <si>
    <t>Категория</t>
  </si>
  <si>
    <t>Базовая цена</t>
  </si>
  <si>
    <t>Установленная скидка</t>
  </si>
  <si>
    <t>Финальная цена (со скидкой)</t>
  </si>
  <si>
    <t>Цена на ВБ</t>
  </si>
  <si>
    <t>Рейтинг товара</t>
  </si>
  <si>
    <t>Количество продаж</t>
  </si>
  <si>
    <t>Выручка с продаж</t>
  </si>
  <si>
    <t>Прибыль с продаж</t>
  </si>
  <si>
    <t>Количество возвратов</t>
  </si>
  <si>
    <t>Cумма возвратов</t>
  </si>
  <si>
    <t>Себестоимость возвратов</t>
  </si>
  <si>
    <t>Количество заказов</t>
  </si>
  <si>
    <t>Промежуточные вычисления</t>
  </si>
  <si>
    <t>10/26/2022</t>
  </si>
  <si>
    <t>43</t>
  </si>
  <si>
    <t>Гель для душа BELITA 2 ШТУКИ</t>
  </si>
  <si>
    <t>Гели</t>
  </si>
  <si>
    <t>Красота</t>
  </si>
  <si>
    <t>BELITA_element-earth_GEL-N2</t>
  </si>
  <si>
    <t>Сыворотка для лица FARMSTAY Экстракт Меда Корейская косметика против морщин ФармСтей Корея 250 мл</t>
  </si>
  <si>
    <t>Сыворотки</t>
  </si>
  <si>
    <t>FS_honey_SERUM</t>
  </si>
  <si>
    <t>BELITA_element-air_GEL-N2</t>
  </si>
  <si>
    <t>BELITA_element-fire_GEL-N2</t>
  </si>
  <si>
    <t>Филлер для век и лица BELITA 20 мл</t>
  </si>
  <si>
    <t>Лосьоны</t>
  </si>
  <si>
    <t>BELITA_anti-age-premium_FILLER</t>
  </si>
  <si>
    <t>10/27/2022</t>
  </si>
  <si>
    <t>10/28/2022</t>
  </si>
  <si>
    <t>10/29/2022</t>
  </si>
  <si>
    <t>10/30/2022</t>
  </si>
  <si>
    <t>10/31/2022</t>
  </si>
  <si>
    <t>44</t>
  </si>
  <si>
    <t>11/01/2022</t>
  </si>
  <si>
    <t>11/02/2022</t>
  </si>
  <si>
    <t>11/03/2022</t>
  </si>
  <si>
    <t>11/04/2022</t>
  </si>
  <si>
    <t>11/05/2022</t>
  </si>
  <si>
    <t>11/06/2022</t>
  </si>
  <si>
    <t>11/07/2022</t>
  </si>
  <si>
    <t>45</t>
  </si>
  <si>
    <t>11/08/2022</t>
  </si>
  <si>
    <t>маржа, %</t>
  </si>
  <si>
    <t>4. Со 2 по 8 ноября проходила акция со снижением цены. Используя информацию на Листе 3, в таблице ниже привидите данные, на основании которых можно судить об успешности акции и сделайте выводы</t>
  </si>
  <si>
    <t xml:space="preserve">Все предложенные задачи имеют практическое значение. Т.е. информация необходима для ежедневной работы, не для презентаций и отчётов, а для принятия оперативных рабочих решений. </t>
  </si>
  <si>
    <t>3. Сколько выручки принесли и в каком количестве продавались товары за период (см. Лист 3)? Используйте наиболее оптимальные для случая формулы</t>
  </si>
  <si>
    <t>Напишите время, котрое Вы потратили на выполнение всего ТЗ:</t>
  </si>
  <si>
    <t>Напишите программы и/или сторонние сервисы, которыми вы воспользовались для выполнения, если таковые были</t>
  </si>
  <si>
    <t>1. Нужны данные: сколько по каждой позиции необходимо товара (шт.) для продаж в марте, апреле, мае (отдельно на 3 месяца). Необходимое для заказа количество надо предоставить специалисту по закупкам. 
Данные позиции продаются не более 4 месяцев
2. Подготовьте рекомендации по оптимизации прибыли компании, опираясь на данные по приведённому ассортименту. По каждому товару</t>
  </si>
  <si>
    <t>Тестовое задание не предназначено для пересылки или публикации, только для адресата, которому оно было отправлено. Пожалуйста, выполняйте его самостоятельно так, как понимаете с учётом всех имеющихся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</si>
</sst>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"/>
    <numFmt numFmtId="165" formatCode="###\ ###\ ###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B0F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color theme="4" tint="-0.249977111117893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F48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14" fontId="2" fillId="0" borderId="0" xfId="0" applyNumberFormat="1" applyFont="1" applyAlignment="1">
      <alignment horizontal="left" vertical="center" textRotation="90" wrapText="1"/>
    </xf>
    <xf numFmtId="0" fontId="3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left" vertical="center" textRotation="90" wrapText="1"/>
    </xf>
    <xf numFmtId="0" fontId="1" fillId="0" borderId="0" xfId="0" applyFont="1"/>
    <xf numFmtId="164" fontId="0" fillId="0" borderId="1" xfId="0" applyNumberFormat="1" applyBorder="1"/>
    <xf numFmtId="3" fontId="0" fillId="0" borderId="1" xfId="0" applyNumberFormat="1" applyBorder="1"/>
    <xf numFmtId="165" fontId="0" fillId="0" borderId="1" xfId="0" applyNumberFormat="1" applyBorder="1"/>
    <xf numFmtId="0" fontId="0" fillId="2" borderId="1" xfId="0" applyFill="1" applyBorder="1"/>
    <xf numFmtId="0" fontId="6" fillId="3" borderId="2" xfId="0" applyFont="1" applyFill="1" applyBorder="1"/>
    <xf numFmtId="164" fontId="0" fillId="0" borderId="0" xfId="0" applyNumberFormat="1"/>
    <xf numFmtId="0" fontId="0" fillId="0" borderId="0" xfId="0" applyFill="1" applyAlignment="1"/>
    <xf numFmtId="0" fontId="8" fillId="4" borderId="0" xfId="0" applyFont="1" applyFill="1" applyAlignment="1"/>
    <xf numFmtId="0" fontId="8" fillId="4" borderId="3" xfId="0" applyFont="1" applyFill="1" applyBorder="1"/>
    <xf numFmtId="0" fontId="9" fillId="0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9" fillId="4" borderId="0" xfId="0" applyFont="1" applyFill="1" applyAlignment="1">
      <alignment vertical="center" wrapText="1"/>
    </xf>
  </cellXfs>
  <cellStyles count="1">
    <cellStyle name="Обычный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B219-B86A-4E3F-A532-C760652B25BD}">
  <dimension ref="A1:BF30"/>
  <sheetViews>
    <sheetView tabSelected="1" workbookViewId="0">
      <pane xSplit="7" ySplit="9" topLeftCell="H10" activePane="bottomRight" state="frozen"/>
      <selection pane="topRight" activeCell="G1" sqref="G1"/>
      <selection pane="bottomLeft" activeCell="A6" sqref="A6"/>
      <selection pane="bottomRight" activeCell="AA7" sqref="AA7"/>
    </sheetView>
  </sheetViews>
  <sheetFormatPr defaultRowHeight="14.4" x14ac:dyDescent="0.3"/>
  <cols>
    <col min="1" max="1" width="28.5546875" customWidth="1"/>
    <col min="2" max="2" width="11.6640625" customWidth="1"/>
    <col min="4" max="4" width="19" customWidth="1"/>
    <col min="5" max="5" width="34.109375" customWidth="1"/>
    <col min="8" max="56" width="5" customWidth="1"/>
  </cols>
  <sheetData>
    <row r="1" spans="1:58" ht="34.5" customHeight="1" x14ac:dyDescent="0.3">
      <c r="A1" s="16" t="s">
        <v>131</v>
      </c>
      <c r="B1" s="16"/>
      <c r="C1" s="16"/>
      <c r="D1" s="16"/>
      <c r="E1" s="16"/>
      <c r="F1" s="16"/>
      <c r="G1" s="16"/>
    </row>
    <row r="2" spans="1:58" ht="44.25" customHeight="1" thickBot="1" x14ac:dyDescent="0.35">
      <c r="A2" s="20" t="s">
        <v>126</v>
      </c>
      <c r="B2" s="20"/>
      <c r="C2" s="20"/>
      <c r="D2" s="20"/>
      <c r="E2" s="20"/>
      <c r="F2" s="20"/>
    </row>
    <row r="3" spans="1:58" ht="24.75" customHeight="1" thickBot="1" x14ac:dyDescent="0.35">
      <c r="A3" s="21" t="s">
        <v>128</v>
      </c>
      <c r="B3" s="21"/>
      <c r="C3" s="21"/>
      <c r="D3" s="21"/>
      <c r="E3" s="21"/>
      <c r="F3" s="21"/>
      <c r="G3" s="15"/>
    </row>
    <row r="4" spans="1:58" ht="24.75" customHeight="1" x14ac:dyDescent="0.3">
      <c r="A4" s="21" t="s">
        <v>129</v>
      </c>
      <c r="B4" s="21"/>
      <c r="C4" s="21"/>
      <c r="D4" s="21"/>
      <c r="E4" s="21"/>
      <c r="F4" s="21"/>
      <c r="G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</row>
    <row r="5" spans="1:58" ht="81" customHeight="1" x14ac:dyDescent="0.3">
      <c r="A5" s="17" t="s">
        <v>130</v>
      </c>
      <c r="B5" s="18"/>
      <c r="C5" s="18"/>
      <c r="D5" s="18"/>
      <c r="E5" s="18"/>
      <c r="F5" s="18"/>
    </row>
    <row r="6" spans="1:58" ht="16.5" customHeight="1" x14ac:dyDescent="0.3">
      <c r="A6" s="19" t="s">
        <v>59</v>
      </c>
      <c r="B6" s="19"/>
      <c r="C6" s="19"/>
      <c r="D6" s="19"/>
      <c r="E6" s="19"/>
      <c r="F6" s="19"/>
    </row>
    <row r="9" spans="1:58" x14ac:dyDescent="0.3">
      <c r="BE9" s="3"/>
      <c r="BF9" s="3"/>
    </row>
    <row r="10" spans="1:58" x14ac:dyDescent="0.3">
      <c r="H10" s="6" t="s">
        <v>57</v>
      </c>
    </row>
    <row r="11" spans="1:58" ht="52.8" x14ac:dyDescent="0.3">
      <c r="A11" s="2" t="s">
        <v>0</v>
      </c>
      <c r="B11" s="2" t="s">
        <v>58</v>
      </c>
      <c r="C11" s="2" t="s">
        <v>1</v>
      </c>
      <c r="D11" s="2" t="s">
        <v>2</v>
      </c>
      <c r="E11" s="2" t="s">
        <v>55</v>
      </c>
      <c r="F11" s="2" t="s">
        <v>54</v>
      </c>
      <c r="G11" s="4" t="s">
        <v>124</v>
      </c>
      <c r="H11" s="5">
        <v>44896</v>
      </c>
      <c r="I11" s="5">
        <v>44897</v>
      </c>
      <c r="J11" s="5">
        <v>44898</v>
      </c>
      <c r="K11" s="5">
        <v>44899</v>
      </c>
      <c r="L11" s="5">
        <v>44900</v>
      </c>
      <c r="M11" s="5">
        <v>44901</v>
      </c>
      <c r="N11" s="5">
        <v>44902</v>
      </c>
      <c r="O11" s="5">
        <v>44903</v>
      </c>
      <c r="P11" s="5">
        <v>44904</v>
      </c>
      <c r="Q11" s="5">
        <v>44905</v>
      </c>
      <c r="R11" s="5">
        <v>44906</v>
      </c>
      <c r="S11" s="5">
        <v>44907</v>
      </c>
      <c r="T11" s="5">
        <v>44908</v>
      </c>
      <c r="U11" s="5">
        <v>44909</v>
      </c>
      <c r="V11" s="5">
        <v>44910</v>
      </c>
      <c r="W11" s="5">
        <v>44911</v>
      </c>
      <c r="X11" s="5">
        <v>44912</v>
      </c>
      <c r="Y11" s="5">
        <v>44913</v>
      </c>
      <c r="Z11" s="5">
        <v>44914</v>
      </c>
      <c r="AA11" s="5">
        <v>44915</v>
      </c>
      <c r="AB11" s="5">
        <v>44916</v>
      </c>
      <c r="AC11" s="5">
        <v>44917</v>
      </c>
      <c r="AD11" s="5">
        <v>44918</v>
      </c>
      <c r="AE11" s="5">
        <v>44919</v>
      </c>
      <c r="AF11" s="5">
        <v>44920</v>
      </c>
      <c r="AG11" s="5">
        <v>44921</v>
      </c>
      <c r="AH11" s="5">
        <v>44922</v>
      </c>
      <c r="AI11" s="5">
        <v>44923</v>
      </c>
      <c r="AJ11" s="5">
        <v>44924</v>
      </c>
      <c r="AK11" s="5">
        <v>44925</v>
      </c>
      <c r="AL11" s="5">
        <v>44926</v>
      </c>
      <c r="AM11" s="5">
        <v>44927</v>
      </c>
      <c r="AN11" s="5">
        <v>44928</v>
      </c>
      <c r="AO11" s="5">
        <v>44929</v>
      </c>
      <c r="AP11" s="5">
        <v>44930</v>
      </c>
      <c r="AQ11" s="5">
        <v>44931</v>
      </c>
      <c r="AR11" s="5">
        <v>44932</v>
      </c>
      <c r="AS11" s="5">
        <v>44933</v>
      </c>
      <c r="AT11" s="5">
        <v>44934</v>
      </c>
      <c r="AU11" s="5">
        <v>44935</v>
      </c>
      <c r="AV11" s="5">
        <v>44936</v>
      </c>
      <c r="AW11" s="5">
        <v>44937</v>
      </c>
      <c r="AX11" s="5">
        <v>44938</v>
      </c>
      <c r="AY11" s="5">
        <v>44939</v>
      </c>
      <c r="AZ11" s="5">
        <v>44940</v>
      </c>
      <c r="BA11" s="5">
        <v>44941</v>
      </c>
      <c r="BB11" s="5">
        <v>44942</v>
      </c>
      <c r="BC11" s="5">
        <v>44943</v>
      </c>
      <c r="BD11" s="5">
        <v>44944</v>
      </c>
    </row>
    <row r="12" spans="1:58" x14ac:dyDescent="0.3">
      <c r="A12" s="1" t="s">
        <v>3</v>
      </c>
      <c r="B12" s="1">
        <v>66984637</v>
      </c>
      <c r="C12" s="1" t="s">
        <v>4</v>
      </c>
      <c r="D12" s="1" t="s">
        <v>5</v>
      </c>
      <c r="E12" s="1" t="s">
        <v>60</v>
      </c>
      <c r="F12" s="1">
        <v>859</v>
      </c>
      <c r="G12" s="1">
        <v>12</v>
      </c>
      <c r="H12" s="1">
        <v>35</v>
      </c>
      <c r="I12" s="1">
        <v>15</v>
      </c>
      <c r="J12" s="1">
        <v>21</v>
      </c>
      <c r="K12" s="1">
        <v>24</v>
      </c>
      <c r="L12" s="1">
        <v>28</v>
      </c>
      <c r="M12" s="1">
        <v>19</v>
      </c>
      <c r="N12" s="1">
        <v>25</v>
      </c>
      <c r="O12" s="1">
        <v>25</v>
      </c>
      <c r="P12" s="1">
        <v>15</v>
      </c>
      <c r="Q12" s="1">
        <v>21</v>
      </c>
      <c r="R12" s="1">
        <v>23</v>
      </c>
      <c r="S12" s="1">
        <v>12</v>
      </c>
      <c r="T12" s="1">
        <v>11</v>
      </c>
      <c r="U12" s="1">
        <v>12</v>
      </c>
      <c r="V12" s="1">
        <v>12</v>
      </c>
      <c r="W12" s="1">
        <v>18</v>
      </c>
      <c r="X12" s="1">
        <v>17</v>
      </c>
      <c r="Y12" s="1">
        <v>22</v>
      </c>
      <c r="Z12" s="1">
        <v>25</v>
      </c>
      <c r="AA12" s="1">
        <v>29</v>
      </c>
      <c r="AB12" s="1">
        <v>25</v>
      </c>
      <c r="AC12" s="1">
        <v>17</v>
      </c>
      <c r="AD12" s="1">
        <v>16</v>
      </c>
      <c r="AE12" s="1">
        <v>20</v>
      </c>
      <c r="AF12" s="1">
        <v>14</v>
      </c>
      <c r="AG12" s="1">
        <v>15</v>
      </c>
      <c r="AH12" s="1">
        <v>13</v>
      </c>
      <c r="AI12" s="1">
        <v>14</v>
      </c>
      <c r="AJ12" s="1">
        <v>17</v>
      </c>
      <c r="AK12" s="1">
        <v>12</v>
      </c>
      <c r="AL12" s="1">
        <v>8</v>
      </c>
      <c r="AM12" s="1">
        <v>12</v>
      </c>
      <c r="AN12" s="1">
        <v>15</v>
      </c>
      <c r="AO12" s="1">
        <v>25</v>
      </c>
      <c r="AP12" s="1">
        <v>25</v>
      </c>
      <c r="AQ12" s="1">
        <v>26</v>
      </c>
      <c r="AR12" s="1">
        <v>25</v>
      </c>
      <c r="AS12" s="1">
        <v>31</v>
      </c>
      <c r="AT12" s="1">
        <v>36</v>
      </c>
      <c r="AU12" s="1">
        <v>22</v>
      </c>
      <c r="AV12" s="1">
        <v>14</v>
      </c>
      <c r="AW12" s="1">
        <v>29</v>
      </c>
      <c r="AX12" s="1">
        <v>38</v>
      </c>
      <c r="AY12" s="1">
        <v>31</v>
      </c>
      <c r="AZ12" s="1">
        <v>26</v>
      </c>
      <c r="BA12" s="1">
        <v>37</v>
      </c>
      <c r="BB12" s="1">
        <v>35</v>
      </c>
      <c r="BC12" s="1">
        <v>25</v>
      </c>
      <c r="BD12" s="1">
        <v>16</v>
      </c>
    </row>
    <row r="13" spans="1:58" x14ac:dyDescent="0.3">
      <c r="A13" s="1" t="s">
        <v>6</v>
      </c>
      <c r="B13" s="1">
        <v>106068488</v>
      </c>
      <c r="C13" s="1" t="s">
        <v>7</v>
      </c>
      <c r="D13" s="1" t="s">
        <v>8</v>
      </c>
      <c r="E13" s="1" t="s">
        <v>61</v>
      </c>
      <c r="F13" s="1">
        <v>445</v>
      </c>
      <c r="G13" s="1">
        <v>14</v>
      </c>
      <c r="H13" s="1">
        <v>5</v>
      </c>
      <c r="I13" s="1">
        <v>5</v>
      </c>
      <c r="J13" s="1">
        <v>3</v>
      </c>
      <c r="K13" s="1">
        <v>1</v>
      </c>
      <c r="L13" s="1">
        <v>0</v>
      </c>
      <c r="M13" s="1">
        <v>3</v>
      </c>
      <c r="N13" s="1">
        <v>3</v>
      </c>
      <c r="O13" s="1">
        <v>2</v>
      </c>
      <c r="P13" s="1">
        <v>2</v>
      </c>
      <c r="Q13" s="1">
        <v>2</v>
      </c>
      <c r="R13" s="1">
        <v>1</v>
      </c>
      <c r="S13" s="1">
        <v>4</v>
      </c>
      <c r="T13" s="1">
        <v>2</v>
      </c>
      <c r="U13" s="1">
        <v>2</v>
      </c>
      <c r="V13" s="1">
        <v>3</v>
      </c>
      <c r="W13" s="1">
        <v>4</v>
      </c>
      <c r="X13" s="1">
        <v>5</v>
      </c>
      <c r="Y13" s="1">
        <v>5</v>
      </c>
      <c r="Z13" s="1">
        <v>5</v>
      </c>
      <c r="AA13" s="1">
        <v>2</v>
      </c>
      <c r="AB13" s="1">
        <v>2</v>
      </c>
      <c r="AC13" s="1">
        <v>1</v>
      </c>
      <c r="AD13" s="1">
        <v>3</v>
      </c>
      <c r="AE13" s="1">
        <v>0</v>
      </c>
      <c r="AF13" s="1">
        <v>1</v>
      </c>
      <c r="AG13" s="1">
        <v>3</v>
      </c>
      <c r="AH13" s="1">
        <v>3</v>
      </c>
      <c r="AI13" s="1">
        <v>2</v>
      </c>
      <c r="AJ13" s="1">
        <v>3</v>
      </c>
      <c r="AK13" s="1">
        <v>3</v>
      </c>
      <c r="AL13" s="1">
        <v>3</v>
      </c>
      <c r="AM13" s="1">
        <v>8</v>
      </c>
      <c r="AN13" s="1">
        <v>5</v>
      </c>
      <c r="AO13" s="1">
        <v>3</v>
      </c>
      <c r="AP13" s="1">
        <v>5</v>
      </c>
      <c r="AQ13" s="1">
        <v>8</v>
      </c>
      <c r="AR13" s="1">
        <v>8</v>
      </c>
      <c r="AS13" s="1">
        <v>6</v>
      </c>
      <c r="AT13" s="1">
        <v>7</v>
      </c>
      <c r="AU13" s="1">
        <v>6</v>
      </c>
      <c r="AV13" s="1">
        <v>8</v>
      </c>
      <c r="AW13" s="1">
        <v>9</v>
      </c>
      <c r="AX13" s="1">
        <v>5</v>
      </c>
      <c r="AY13" s="1">
        <v>3</v>
      </c>
      <c r="AZ13" s="1">
        <v>6</v>
      </c>
      <c r="BA13" s="1">
        <v>5</v>
      </c>
      <c r="BB13" s="1">
        <v>7</v>
      </c>
      <c r="BC13" s="1">
        <v>2</v>
      </c>
      <c r="BD13" s="1">
        <v>6</v>
      </c>
    </row>
    <row r="14" spans="1:58" x14ac:dyDescent="0.3">
      <c r="A14" s="1" t="s">
        <v>9</v>
      </c>
      <c r="B14" s="1">
        <v>38452576</v>
      </c>
      <c r="C14" s="1" t="s">
        <v>10</v>
      </c>
      <c r="D14" s="1" t="s">
        <v>11</v>
      </c>
      <c r="E14" s="1" t="s">
        <v>62</v>
      </c>
      <c r="F14" s="1">
        <v>308</v>
      </c>
      <c r="G14" s="1">
        <v>16</v>
      </c>
      <c r="H14" s="1">
        <v>12</v>
      </c>
      <c r="I14" s="1">
        <v>18</v>
      </c>
      <c r="J14" s="1">
        <v>16</v>
      </c>
      <c r="K14" s="1">
        <v>16</v>
      </c>
      <c r="L14" s="1">
        <v>16</v>
      </c>
      <c r="M14" s="1">
        <v>14</v>
      </c>
      <c r="N14" s="1">
        <v>10</v>
      </c>
      <c r="O14" s="1">
        <v>3</v>
      </c>
      <c r="P14" s="1">
        <v>20</v>
      </c>
      <c r="Q14" s="1">
        <v>21</v>
      </c>
      <c r="R14" s="1">
        <v>31</v>
      </c>
      <c r="S14" s="1">
        <v>11</v>
      </c>
      <c r="T14" s="1">
        <v>12</v>
      </c>
      <c r="U14" s="1">
        <v>9</v>
      </c>
      <c r="V14" s="1">
        <v>16</v>
      </c>
      <c r="W14" s="1">
        <v>19</v>
      </c>
      <c r="X14" s="1">
        <v>10</v>
      </c>
      <c r="Y14" s="1">
        <v>11</v>
      </c>
      <c r="Z14" s="1">
        <v>8</v>
      </c>
      <c r="AA14" s="1">
        <v>13</v>
      </c>
      <c r="AB14" s="1">
        <v>16</v>
      </c>
      <c r="AC14" s="1">
        <v>8</v>
      </c>
      <c r="AD14" s="1">
        <v>17</v>
      </c>
      <c r="AE14" s="1">
        <v>17</v>
      </c>
      <c r="AF14" s="1">
        <v>24</v>
      </c>
      <c r="AG14" s="1">
        <v>17</v>
      </c>
      <c r="AH14" s="1">
        <v>18</v>
      </c>
      <c r="AI14" s="1">
        <v>7</v>
      </c>
      <c r="AJ14" s="1">
        <v>20</v>
      </c>
      <c r="AK14" s="1">
        <v>20</v>
      </c>
      <c r="AL14" s="1">
        <v>13</v>
      </c>
      <c r="AM14" s="1">
        <v>29</v>
      </c>
      <c r="AN14" s="1">
        <v>28</v>
      </c>
      <c r="AO14" s="1">
        <v>39</v>
      </c>
      <c r="AP14" s="1">
        <v>18</v>
      </c>
      <c r="AQ14" s="1">
        <v>22</v>
      </c>
      <c r="AR14" s="1">
        <v>24</v>
      </c>
      <c r="AS14" s="1">
        <v>26</v>
      </c>
      <c r="AT14" s="1">
        <v>24</v>
      </c>
      <c r="AU14" s="1">
        <v>31</v>
      </c>
      <c r="AV14" s="1">
        <v>28</v>
      </c>
      <c r="AW14" s="1">
        <v>50</v>
      </c>
      <c r="AX14" s="1">
        <v>29</v>
      </c>
      <c r="AY14" s="1">
        <v>39</v>
      </c>
      <c r="AZ14" s="1">
        <v>38</v>
      </c>
      <c r="BA14" s="1">
        <v>36</v>
      </c>
      <c r="BB14" s="1">
        <v>59</v>
      </c>
      <c r="BC14" s="1">
        <v>36</v>
      </c>
      <c r="BD14" s="1">
        <v>36</v>
      </c>
    </row>
    <row r="15" spans="1:58" x14ac:dyDescent="0.3">
      <c r="A15" s="1" t="s">
        <v>12</v>
      </c>
      <c r="B15" s="1">
        <v>39319610</v>
      </c>
      <c r="C15" s="1" t="s">
        <v>13</v>
      </c>
      <c r="D15" s="1" t="s">
        <v>14</v>
      </c>
      <c r="E15" s="1" t="s">
        <v>63</v>
      </c>
      <c r="F15" s="1">
        <v>409</v>
      </c>
      <c r="G15" s="1">
        <v>25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1</v>
      </c>
      <c r="AY15" s="1">
        <v>0</v>
      </c>
      <c r="AZ15" s="1">
        <v>1</v>
      </c>
      <c r="BA15" s="1">
        <v>0</v>
      </c>
      <c r="BB15" s="1">
        <v>0</v>
      </c>
      <c r="BC15" s="1">
        <v>2</v>
      </c>
      <c r="BD15" s="1">
        <v>1</v>
      </c>
    </row>
    <row r="16" spans="1:58" x14ac:dyDescent="0.3">
      <c r="A16" s="1" t="s">
        <v>15</v>
      </c>
      <c r="B16" s="1">
        <v>37037197</v>
      </c>
      <c r="C16" s="1" t="s">
        <v>16</v>
      </c>
      <c r="D16" s="1" t="s">
        <v>17</v>
      </c>
      <c r="E16" s="1" t="s">
        <v>64</v>
      </c>
      <c r="F16" s="1">
        <v>392</v>
      </c>
      <c r="G16" s="1">
        <v>20</v>
      </c>
      <c r="H16" s="1">
        <v>6</v>
      </c>
      <c r="I16" s="1">
        <v>8</v>
      </c>
      <c r="J16" s="1">
        <v>4</v>
      </c>
      <c r="K16" s="1">
        <v>4</v>
      </c>
      <c r="L16" s="1">
        <v>8</v>
      </c>
      <c r="M16" s="1">
        <v>6</v>
      </c>
      <c r="N16" s="1">
        <v>8</v>
      </c>
      <c r="O16" s="1">
        <v>0</v>
      </c>
      <c r="P16" s="1">
        <v>4</v>
      </c>
      <c r="Q16" s="1">
        <v>14</v>
      </c>
      <c r="R16" s="1">
        <v>2</v>
      </c>
      <c r="S16" s="1">
        <v>4</v>
      </c>
      <c r="T16" s="1">
        <v>6</v>
      </c>
      <c r="U16" s="1">
        <v>12</v>
      </c>
      <c r="V16" s="1">
        <v>0</v>
      </c>
      <c r="W16" s="1">
        <v>4</v>
      </c>
      <c r="X16" s="1">
        <v>10</v>
      </c>
      <c r="Y16" s="1">
        <v>6</v>
      </c>
      <c r="Z16" s="1">
        <v>4</v>
      </c>
      <c r="AA16" s="1">
        <v>6</v>
      </c>
      <c r="AB16" s="1">
        <v>2</v>
      </c>
      <c r="AC16" s="1">
        <v>2</v>
      </c>
      <c r="AD16" s="1">
        <v>2</v>
      </c>
      <c r="AE16" s="1">
        <v>2</v>
      </c>
      <c r="AF16" s="1">
        <v>4</v>
      </c>
      <c r="AG16" s="1">
        <v>2</v>
      </c>
      <c r="AH16" s="1">
        <v>0</v>
      </c>
      <c r="AI16" s="1">
        <v>2</v>
      </c>
      <c r="AJ16" s="1">
        <v>0</v>
      </c>
      <c r="AK16" s="1">
        <v>0</v>
      </c>
      <c r="AL16" s="1">
        <v>2</v>
      </c>
      <c r="AM16" s="1">
        <v>0</v>
      </c>
      <c r="AN16" s="1">
        <v>0</v>
      </c>
      <c r="AO16" s="1">
        <v>0</v>
      </c>
      <c r="AP16" s="1">
        <v>0</v>
      </c>
      <c r="AQ16" s="1">
        <v>2</v>
      </c>
      <c r="AR16" s="1">
        <v>0</v>
      </c>
      <c r="AS16" s="1">
        <v>0</v>
      </c>
      <c r="AT16" s="1">
        <v>0</v>
      </c>
      <c r="AU16" s="1">
        <v>0</v>
      </c>
      <c r="AV16" s="1">
        <v>2</v>
      </c>
      <c r="AW16" s="1">
        <v>0</v>
      </c>
      <c r="AX16" s="1">
        <v>4</v>
      </c>
      <c r="AY16" s="1">
        <v>2</v>
      </c>
      <c r="AZ16" s="1">
        <v>0</v>
      </c>
      <c r="BA16" s="1">
        <v>2</v>
      </c>
      <c r="BB16" s="1">
        <v>4</v>
      </c>
      <c r="BC16" s="1">
        <v>2</v>
      </c>
      <c r="BD16" s="1">
        <v>0</v>
      </c>
    </row>
    <row r="17" spans="1:56" x14ac:dyDescent="0.3">
      <c r="A17" s="1" t="s">
        <v>15</v>
      </c>
      <c r="B17" s="1">
        <v>125009126</v>
      </c>
      <c r="C17" s="1" t="s">
        <v>18</v>
      </c>
      <c r="D17" s="1" t="s">
        <v>19</v>
      </c>
      <c r="E17" s="1" t="s">
        <v>65</v>
      </c>
      <c r="F17" s="1">
        <v>443</v>
      </c>
      <c r="G17" s="1">
        <v>20</v>
      </c>
      <c r="H17" s="1">
        <v>3</v>
      </c>
      <c r="I17" s="1">
        <v>5</v>
      </c>
      <c r="J17" s="1">
        <v>6</v>
      </c>
      <c r="K17" s="1">
        <v>2</v>
      </c>
      <c r="L17" s="1">
        <v>6</v>
      </c>
      <c r="M17" s="1">
        <v>7</v>
      </c>
      <c r="N17" s="1">
        <v>16</v>
      </c>
      <c r="O17" s="1">
        <v>9</v>
      </c>
      <c r="P17" s="1">
        <v>8</v>
      </c>
      <c r="Q17" s="1">
        <v>8</v>
      </c>
      <c r="R17" s="1">
        <v>11</v>
      </c>
      <c r="S17" s="1">
        <v>9</v>
      </c>
      <c r="T17" s="1">
        <v>1</v>
      </c>
      <c r="U17" s="1">
        <v>5</v>
      </c>
      <c r="V17" s="1">
        <v>7</v>
      </c>
      <c r="W17" s="1">
        <v>3</v>
      </c>
      <c r="X17" s="1">
        <v>6</v>
      </c>
      <c r="Y17" s="1">
        <v>8</v>
      </c>
      <c r="Z17" s="1">
        <v>1</v>
      </c>
      <c r="AA17" s="1">
        <v>3</v>
      </c>
      <c r="AB17" s="1">
        <v>3</v>
      </c>
      <c r="AC17" s="1">
        <v>0</v>
      </c>
      <c r="AD17" s="1">
        <v>1</v>
      </c>
      <c r="AE17" s="1">
        <v>1</v>
      </c>
      <c r="AF17" s="1">
        <v>4</v>
      </c>
      <c r="AG17" s="1">
        <v>3</v>
      </c>
      <c r="AH17" s="1">
        <v>2</v>
      </c>
      <c r="AI17" s="1">
        <v>2</v>
      </c>
      <c r="AJ17" s="1">
        <v>1</v>
      </c>
      <c r="AK17" s="1">
        <v>2</v>
      </c>
      <c r="AL17" s="1">
        <v>0</v>
      </c>
      <c r="AM17" s="1">
        <v>1</v>
      </c>
      <c r="AN17" s="1">
        <v>2</v>
      </c>
      <c r="AO17" s="1">
        <v>4</v>
      </c>
      <c r="AP17" s="1">
        <v>1</v>
      </c>
      <c r="AQ17" s="1">
        <v>0</v>
      </c>
      <c r="AR17" s="1">
        <v>1</v>
      </c>
      <c r="AS17" s="1">
        <v>1</v>
      </c>
      <c r="AT17" s="1">
        <v>2</v>
      </c>
      <c r="AU17" s="1">
        <v>4</v>
      </c>
      <c r="AV17" s="1">
        <v>3</v>
      </c>
      <c r="AW17" s="1">
        <v>5</v>
      </c>
      <c r="AX17" s="1">
        <v>3</v>
      </c>
      <c r="AY17" s="1">
        <v>1</v>
      </c>
      <c r="AZ17" s="1">
        <v>2</v>
      </c>
      <c r="BA17" s="1">
        <v>2</v>
      </c>
      <c r="BB17" s="1">
        <v>1</v>
      </c>
      <c r="BC17" s="1">
        <v>1</v>
      </c>
      <c r="BD17" s="1">
        <v>2</v>
      </c>
    </row>
    <row r="18" spans="1:56" x14ac:dyDescent="0.3">
      <c r="A18" s="1" t="s">
        <v>15</v>
      </c>
      <c r="B18" s="1">
        <v>124999598</v>
      </c>
      <c r="C18" s="1" t="s">
        <v>18</v>
      </c>
      <c r="D18" s="1" t="s">
        <v>20</v>
      </c>
      <c r="E18" s="1" t="s">
        <v>66</v>
      </c>
      <c r="F18" s="1">
        <v>429</v>
      </c>
      <c r="G18" s="1">
        <v>17</v>
      </c>
      <c r="H18" s="1">
        <v>7</v>
      </c>
      <c r="I18" s="1">
        <v>6</v>
      </c>
      <c r="J18" s="1">
        <v>5</v>
      </c>
      <c r="K18" s="1">
        <v>8</v>
      </c>
      <c r="L18" s="1">
        <v>5</v>
      </c>
      <c r="M18" s="1">
        <v>6</v>
      </c>
      <c r="N18" s="1">
        <v>9</v>
      </c>
      <c r="O18" s="1">
        <v>9</v>
      </c>
      <c r="P18" s="1">
        <v>5</v>
      </c>
      <c r="Q18" s="1">
        <v>1</v>
      </c>
      <c r="R18" s="1">
        <v>1</v>
      </c>
      <c r="S18" s="1">
        <v>3</v>
      </c>
      <c r="T18" s="1">
        <v>1</v>
      </c>
      <c r="U18" s="1">
        <v>2</v>
      </c>
      <c r="V18" s="1">
        <v>5</v>
      </c>
      <c r="W18" s="1">
        <v>0</v>
      </c>
      <c r="X18" s="1">
        <v>1</v>
      </c>
      <c r="Y18" s="1">
        <v>1</v>
      </c>
      <c r="Z18" s="1">
        <v>1</v>
      </c>
      <c r="AA18" s="1">
        <v>0</v>
      </c>
      <c r="AB18" s="1">
        <v>2</v>
      </c>
      <c r="AC18" s="1">
        <v>0</v>
      </c>
      <c r="AD18" s="1">
        <v>3</v>
      </c>
      <c r="AE18" s="1">
        <v>4</v>
      </c>
      <c r="AF18" s="1">
        <v>1</v>
      </c>
      <c r="AG18" s="1">
        <v>2</v>
      </c>
      <c r="AH18" s="1">
        <v>2</v>
      </c>
      <c r="AI18" s="1">
        <v>0</v>
      </c>
      <c r="AJ18" s="1">
        <v>1</v>
      </c>
      <c r="AK18" s="1">
        <v>3</v>
      </c>
      <c r="AL18" s="1">
        <v>1</v>
      </c>
      <c r="AM18" s="1">
        <v>1</v>
      </c>
      <c r="AN18" s="1">
        <v>5</v>
      </c>
      <c r="AO18" s="1">
        <v>7</v>
      </c>
      <c r="AP18" s="1">
        <v>1</v>
      </c>
      <c r="AQ18" s="1">
        <v>4</v>
      </c>
      <c r="AR18" s="1">
        <v>5</v>
      </c>
      <c r="AS18" s="1">
        <v>6</v>
      </c>
      <c r="AT18" s="1">
        <v>4</v>
      </c>
      <c r="AU18" s="1">
        <v>9</v>
      </c>
      <c r="AV18" s="1">
        <v>10</v>
      </c>
      <c r="AW18" s="1">
        <v>9</v>
      </c>
      <c r="AX18" s="1">
        <v>9</v>
      </c>
      <c r="AY18" s="1">
        <v>9</v>
      </c>
      <c r="AZ18" s="1">
        <v>6</v>
      </c>
      <c r="BA18" s="1">
        <v>9</v>
      </c>
      <c r="BB18" s="1">
        <v>13</v>
      </c>
      <c r="BC18" s="1">
        <v>6</v>
      </c>
      <c r="BD18" s="1">
        <v>4</v>
      </c>
    </row>
    <row r="19" spans="1:56" x14ac:dyDescent="0.3">
      <c r="A19" s="1" t="s">
        <v>21</v>
      </c>
      <c r="B19" s="1">
        <v>38580159</v>
      </c>
      <c r="C19" s="1" t="s">
        <v>22</v>
      </c>
      <c r="D19" s="1" t="s">
        <v>23</v>
      </c>
      <c r="E19" s="1" t="s">
        <v>67</v>
      </c>
      <c r="F19" s="1">
        <v>358</v>
      </c>
      <c r="G19" s="1">
        <v>15</v>
      </c>
      <c r="H19" s="1">
        <v>1</v>
      </c>
      <c r="I19" s="1">
        <v>3</v>
      </c>
      <c r="J19" s="1">
        <v>4</v>
      </c>
      <c r="K19" s="1">
        <v>0</v>
      </c>
      <c r="L19" s="1">
        <v>5</v>
      </c>
      <c r="M19" s="1">
        <v>2</v>
      </c>
      <c r="N19" s="1">
        <v>0</v>
      </c>
      <c r="O19" s="1">
        <v>6</v>
      </c>
      <c r="P19" s="1">
        <v>0</v>
      </c>
      <c r="Q19" s="1">
        <v>0</v>
      </c>
      <c r="R19" s="1">
        <v>3</v>
      </c>
      <c r="S19" s="1">
        <v>0</v>
      </c>
      <c r="T19" s="1">
        <v>2</v>
      </c>
      <c r="U19" s="1">
        <v>4</v>
      </c>
      <c r="V19" s="1">
        <v>1</v>
      </c>
      <c r="W19" s="1">
        <v>2</v>
      </c>
      <c r="X19" s="1">
        <v>1</v>
      </c>
      <c r="Y19" s="1">
        <v>3</v>
      </c>
      <c r="Z19" s="1">
        <v>0</v>
      </c>
      <c r="AA19" s="1">
        <v>5</v>
      </c>
      <c r="AB19" s="1">
        <v>0</v>
      </c>
      <c r="AC19" s="1">
        <v>2</v>
      </c>
      <c r="AD19" s="1">
        <v>1</v>
      </c>
      <c r="AE19" s="1">
        <v>0</v>
      </c>
      <c r="AF19" s="1">
        <v>0</v>
      </c>
      <c r="AG19" s="1">
        <v>4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2</v>
      </c>
      <c r="AN19" s="1">
        <v>0</v>
      </c>
      <c r="AO19" s="1">
        <v>1</v>
      </c>
      <c r="AP19" s="1">
        <v>0</v>
      </c>
      <c r="AQ19" s="1">
        <v>3</v>
      </c>
      <c r="AR19" s="1">
        <v>3</v>
      </c>
      <c r="AS19" s="1">
        <v>0</v>
      </c>
      <c r="AT19" s="1">
        <v>5</v>
      </c>
      <c r="AU19" s="1">
        <v>4</v>
      </c>
      <c r="AV19" s="1">
        <v>0</v>
      </c>
      <c r="AW19" s="1">
        <v>0</v>
      </c>
      <c r="AX19" s="1">
        <v>5</v>
      </c>
      <c r="AY19" s="1">
        <v>0</v>
      </c>
      <c r="AZ19" s="1">
        <v>2</v>
      </c>
      <c r="BA19" s="1">
        <v>0</v>
      </c>
      <c r="BB19" s="1">
        <v>1</v>
      </c>
      <c r="BC19" s="1">
        <v>0</v>
      </c>
      <c r="BD19" s="1">
        <v>1</v>
      </c>
    </row>
    <row r="20" spans="1:56" x14ac:dyDescent="0.3">
      <c r="A20" s="1" t="s">
        <v>15</v>
      </c>
      <c r="B20" s="1">
        <v>40804552</v>
      </c>
      <c r="C20" s="1" t="s">
        <v>24</v>
      </c>
      <c r="D20" s="1" t="s">
        <v>25</v>
      </c>
      <c r="E20" s="1" t="s">
        <v>68</v>
      </c>
      <c r="F20" s="1">
        <v>826</v>
      </c>
      <c r="G20" s="1">
        <v>4</v>
      </c>
      <c r="H20" s="1">
        <v>2</v>
      </c>
      <c r="I20" s="1">
        <v>0</v>
      </c>
      <c r="J20" s="1">
        <v>0</v>
      </c>
      <c r="K20" s="1">
        <v>4</v>
      </c>
      <c r="L20" s="1">
        <v>6</v>
      </c>
      <c r="M20" s="1">
        <v>4</v>
      </c>
      <c r="N20" s="1">
        <v>0</v>
      </c>
      <c r="O20" s="1">
        <v>4</v>
      </c>
      <c r="P20" s="1">
        <v>10</v>
      </c>
      <c r="Q20" s="1">
        <v>0</v>
      </c>
      <c r="R20" s="1">
        <v>2</v>
      </c>
      <c r="S20" s="1">
        <v>4</v>
      </c>
      <c r="T20" s="1">
        <v>10</v>
      </c>
      <c r="U20" s="1">
        <v>0</v>
      </c>
      <c r="V20" s="1">
        <v>8</v>
      </c>
      <c r="W20" s="1">
        <v>2</v>
      </c>
      <c r="X20" s="1">
        <v>8</v>
      </c>
      <c r="Y20" s="1">
        <v>4</v>
      </c>
      <c r="Z20" s="1">
        <v>2</v>
      </c>
      <c r="AA20" s="1">
        <v>0</v>
      </c>
      <c r="AB20" s="1">
        <v>0</v>
      </c>
      <c r="AC20" s="1">
        <v>0</v>
      </c>
      <c r="AD20" s="1">
        <v>0</v>
      </c>
      <c r="AE20" s="1">
        <v>4</v>
      </c>
      <c r="AF20" s="1">
        <v>2</v>
      </c>
      <c r="AG20" s="1">
        <v>0</v>
      </c>
      <c r="AH20" s="1">
        <v>2</v>
      </c>
      <c r="AI20" s="1">
        <v>2</v>
      </c>
      <c r="AJ20" s="1">
        <v>2</v>
      </c>
      <c r="AK20" s="1">
        <v>2</v>
      </c>
      <c r="AL20" s="1">
        <v>0</v>
      </c>
      <c r="AM20" s="1">
        <v>2</v>
      </c>
      <c r="AN20" s="1">
        <v>2</v>
      </c>
      <c r="AO20" s="1">
        <v>2</v>
      </c>
      <c r="AP20" s="1">
        <v>0</v>
      </c>
      <c r="AQ20" s="1">
        <v>4</v>
      </c>
      <c r="AR20" s="1">
        <v>2</v>
      </c>
      <c r="AS20" s="1">
        <v>2</v>
      </c>
      <c r="AT20" s="1">
        <v>4</v>
      </c>
      <c r="AU20" s="1">
        <v>2</v>
      </c>
      <c r="AV20" s="1">
        <v>2</v>
      </c>
      <c r="AW20" s="1">
        <v>2</v>
      </c>
      <c r="AX20" s="1">
        <v>0</v>
      </c>
      <c r="AY20" s="1">
        <v>6</v>
      </c>
      <c r="AZ20" s="1">
        <v>4</v>
      </c>
      <c r="BA20" s="1">
        <v>2</v>
      </c>
      <c r="BB20" s="1">
        <v>2</v>
      </c>
      <c r="BC20" s="1">
        <v>2</v>
      </c>
      <c r="BD20" s="1">
        <v>0</v>
      </c>
    </row>
    <row r="21" spans="1:56" x14ac:dyDescent="0.3">
      <c r="A21" s="1" t="s">
        <v>26</v>
      </c>
      <c r="B21" s="1">
        <v>30000544</v>
      </c>
      <c r="C21" s="1" t="s">
        <v>27</v>
      </c>
      <c r="D21" s="1" t="s">
        <v>28</v>
      </c>
      <c r="E21" s="1" t="s">
        <v>69</v>
      </c>
      <c r="F21" s="1">
        <v>449</v>
      </c>
      <c r="G21" s="1">
        <v>20</v>
      </c>
      <c r="H21" s="1">
        <v>43</v>
      </c>
      <c r="I21" s="1">
        <v>57</v>
      </c>
      <c r="J21" s="1">
        <v>73</v>
      </c>
      <c r="K21" s="1">
        <v>42</v>
      </c>
      <c r="L21" s="1">
        <v>52</v>
      </c>
      <c r="M21" s="1">
        <v>84</v>
      </c>
      <c r="N21" s="1">
        <v>81</v>
      </c>
      <c r="O21" s="1">
        <v>101</v>
      </c>
      <c r="P21" s="1">
        <v>101</v>
      </c>
      <c r="Q21" s="1">
        <v>99</v>
      </c>
      <c r="R21" s="1">
        <v>89</v>
      </c>
      <c r="S21" s="1">
        <v>73</v>
      </c>
      <c r="T21" s="1">
        <v>74</v>
      </c>
      <c r="U21" s="1">
        <v>75</v>
      </c>
      <c r="V21" s="1">
        <v>61</v>
      </c>
      <c r="W21" s="1">
        <v>42</v>
      </c>
      <c r="X21" s="1">
        <v>81</v>
      </c>
      <c r="Y21" s="1">
        <v>69</v>
      </c>
      <c r="Z21" s="1">
        <v>49</v>
      </c>
      <c r="AA21" s="1">
        <v>44</v>
      </c>
      <c r="AB21" s="1">
        <v>47</v>
      </c>
      <c r="AC21" s="1">
        <v>55</v>
      </c>
      <c r="AD21" s="1">
        <v>57</v>
      </c>
      <c r="AE21" s="1">
        <v>53</v>
      </c>
      <c r="AF21" s="1">
        <v>37</v>
      </c>
      <c r="AG21" s="1">
        <v>19</v>
      </c>
      <c r="AH21" s="1">
        <v>18</v>
      </c>
      <c r="AI21" s="1">
        <v>16</v>
      </c>
      <c r="AJ21" s="1">
        <v>46</v>
      </c>
      <c r="AK21" s="1">
        <v>52</v>
      </c>
      <c r="AL21" s="1">
        <v>37</v>
      </c>
      <c r="AM21" s="1">
        <v>54</v>
      </c>
      <c r="AN21" s="1">
        <v>62</v>
      </c>
      <c r="AO21" s="1">
        <v>57</v>
      </c>
      <c r="AP21" s="1">
        <v>71</v>
      </c>
      <c r="AQ21" s="1">
        <v>98</v>
      </c>
      <c r="AR21" s="1">
        <v>96</v>
      </c>
      <c r="AS21" s="1">
        <v>56</v>
      </c>
      <c r="AT21" s="1">
        <v>124</v>
      </c>
      <c r="AU21" s="1">
        <v>131</v>
      </c>
      <c r="AV21" s="1">
        <v>111</v>
      </c>
      <c r="AW21" s="1">
        <v>125</v>
      </c>
      <c r="AX21" s="1">
        <v>106</v>
      </c>
      <c r="AY21" s="1">
        <v>104</v>
      </c>
      <c r="AZ21" s="1">
        <v>94</v>
      </c>
      <c r="BA21" s="1">
        <v>110</v>
      </c>
      <c r="BB21" s="1">
        <v>121</v>
      </c>
      <c r="BC21" s="1">
        <v>98</v>
      </c>
      <c r="BD21" s="1">
        <v>76</v>
      </c>
    </row>
    <row r="22" spans="1:56" x14ac:dyDescent="0.3">
      <c r="A22" s="1" t="s">
        <v>29</v>
      </c>
      <c r="B22" s="1">
        <v>45484534</v>
      </c>
      <c r="C22" s="1" t="s">
        <v>30</v>
      </c>
      <c r="D22" s="1" t="s">
        <v>31</v>
      </c>
      <c r="E22" s="1" t="s">
        <v>70</v>
      </c>
      <c r="F22" s="1">
        <v>427</v>
      </c>
      <c r="G22" s="1">
        <v>20</v>
      </c>
      <c r="H22" s="1">
        <v>5</v>
      </c>
      <c r="I22" s="1">
        <v>1</v>
      </c>
      <c r="J22" s="1">
        <v>1</v>
      </c>
      <c r="K22" s="1">
        <v>3</v>
      </c>
      <c r="L22" s="1">
        <v>1</v>
      </c>
      <c r="M22" s="1">
        <v>4</v>
      </c>
      <c r="N22" s="1">
        <v>1</v>
      </c>
      <c r="O22" s="1">
        <v>2</v>
      </c>
      <c r="P22" s="1">
        <v>1</v>
      </c>
      <c r="Q22" s="1">
        <v>2</v>
      </c>
      <c r="R22" s="1">
        <v>3</v>
      </c>
      <c r="S22" s="1">
        <v>2</v>
      </c>
      <c r="T22" s="1">
        <v>1</v>
      </c>
      <c r="U22" s="1">
        <v>3</v>
      </c>
      <c r="V22" s="1">
        <v>1</v>
      </c>
      <c r="W22" s="1">
        <v>1</v>
      </c>
      <c r="X22" s="1">
        <v>2</v>
      </c>
      <c r="Y22" s="1">
        <v>4</v>
      </c>
      <c r="Z22" s="1">
        <v>1</v>
      </c>
      <c r="AA22" s="1">
        <v>1</v>
      </c>
      <c r="AB22" s="1">
        <v>5</v>
      </c>
      <c r="AC22" s="1">
        <v>6</v>
      </c>
      <c r="AD22" s="1">
        <v>8</v>
      </c>
      <c r="AE22" s="1">
        <v>9</v>
      </c>
      <c r="AF22" s="1">
        <v>4</v>
      </c>
      <c r="AG22" s="1">
        <v>1</v>
      </c>
      <c r="AH22" s="1">
        <v>3</v>
      </c>
      <c r="AI22" s="1">
        <v>2</v>
      </c>
      <c r="AJ22" s="1">
        <v>4</v>
      </c>
      <c r="AK22" s="1">
        <v>2</v>
      </c>
      <c r="AL22" s="1">
        <v>5</v>
      </c>
      <c r="AM22" s="1">
        <v>7</v>
      </c>
      <c r="AN22" s="1">
        <v>10</v>
      </c>
      <c r="AO22" s="1">
        <v>7</v>
      </c>
      <c r="AP22" s="1">
        <v>15</v>
      </c>
      <c r="AQ22" s="1">
        <v>1</v>
      </c>
      <c r="AR22" s="1">
        <v>2</v>
      </c>
      <c r="AS22" s="1">
        <v>3</v>
      </c>
      <c r="AT22" s="1">
        <v>1</v>
      </c>
      <c r="AU22" s="1">
        <v>2</v>
      </c>
      <c r="AV22" s="1">
        <v>1</v>
      </c>
      <c r="AW22" s="1">
        <v>4</v>
      </c>
      <c r="AX22" s="1">
        <v>3</v>
      </c>
      <c r="AY22" s="1">
        <v>8</v>
      </c>
      <c r="AZ22" s="1">
        <v>6</v>
      </c>
      <c r="BA22" s="1">
        <v>7</v>
      </c>
      <c r="BB22" s="1">
        <v>15</v>
      </c>
      <c r="BC22" s="1">
        <v>20</v>
      </c>
      <c r="BD22" s="1">
        <v>3</v>
      </c>
    </row>
    <row r="23" spans="1:56" x14ac:dyDescent="0.3">
      <c r="A23" s="1" t="s">
        <v>32</v>
      </c>
      <c r="B23" s="1">
        <v>34077430</v>
      </c>
      <c r="C23" s="1" t="s">
        <v>33</v>
      </c>
      <c r="D23" s="1" t="s">
        <v>34</v>
      </c>
      <c r="E23" s="1" t="s">
        <v>71</v>
      </c>
      <c r="F23" s="1">
        <v>1086</v>
      </c>
      <c r="G23" s="1">
        <v>17</v>
      </c>
      <c r="H23" s="1">
        <v>25</v>
      </c>
      <c r="I23" s="1">
        <v>17</v>
      </c>
      <c r="J23" s="1">
        <v>19</v>
      </c>
      <c r="K23" s="1">
        <v>19</v>
      </c>
      <c r="L23" s="1">
        <v>15</v>
      </c>
      <c r="M23" s="1">
        <v>11</v>
      </c>
      <c r="N23" s="1">
        <v>23</v>
      </c>
      <c r="O23" s="1">
        <v>21</v>
      </c>
      <c r="P23" s="1">
        <v>20</v>
      </c>
      <c r="Q23" s="1">
        <v>29</v>
      </c>
      <c r="R23" s="1">
        <v>23</v>
      </c>
      <c r="S23" s="1">
        <v>17</v>
      </c>
      <c r="T23" s="1">
        <v>11</v>
      </c>
      <c r="U23" s="1">
        <v>17</v>
      </c>
      <c r="V23" s="1">
        <v>15</v>
      </c>
      <c r="W23" s="1">
        <v>15</v>
      </c>
      <c r="X23" s="1">
        <v>17</v>
      </c>
      <c r="Y23" s="1">
        <v>20</v>
      </c>
      <c r="Z23" s="1">
        <v>15</v>
      </c>
      <c r="AA23" s="1">
        <v>21</v>
      </c>
      <c r="AB23" s="1">
        <v>15</v>
      </c>
      <c r="AC23" s="1">
        <v>24</v>
      </c>
      <c r="AD23" s="1">
        <v>15</v>
      </c>
      <c r="AE23" s="1">
        <v>25</v>
      </c>
      <c r="AF23" s="1">
        <v>19</v>
      </c>
      <c r="AG23" s="1">
        <v>9</v>
      </c>
      <c r="AH23" s="1">
        <v>11</v>
      </c>
      <c r="AI23" s="1">
        <v>7</v>
      </c>
      <c r="AJ23" s="1">
        <v>12</v>
      </c>
      <c r="AK23" s="1">
        <v>11</v>
      </c>
      <c r="AL23" s="1">
        <v>4</v>
      </c>
      <c r="AM23" s="1">
        <v>11</v>
      </c>
      <c r="AN23" s="1">
        <v>22</v>
      </c>
      <c r="AO23" s="1">
        <v>23</v>
      </c>
      <c r="AP23" s="1">
        <v>14</v>
      </c>
      <c r="AQ23" s="1">
        <v>16</v>
      </c>
      <c r="AR23" s="1">
        <v>15</v>
      </c>
      <c r="AS23" s="1">
        <v>16</v>
      </c>
      <c r="AT23" s="1">
        <v>21</v>
      </c>
      <c r="AU23" s="1">
        <v>19</v>
      </c>
      <c r="AV23" s="1">
        <v>21</v>
      </c>
      <c r="AW23" s="1">
        <v>27</v>
      </c>
      <c r="AX23" s="1">
        <v>22</v>
      </c>
      <c r="AY23" s="1">
        <v>18</v>
      </c>
      <c r="AZ23" s="1">
        <v>21</v>
      </c>
      <c r="BA23" s="1">
        <v>28</v>
      </c>
      <c r="BB23" s="1">
        <v>18</v>
      </c>
      <c r="BC23" s="1">
        <v>21</v>
      </c>
      <c r="BD23" s="1">
        <v>19</v>
      </c>
    </row>
    <row r="24" spans="1:56" x14ac:dyDescent="0.3">
      <c r="A24" s="1" t="s">
        <v>35</v>
      </c>
      <c r="B24" s="1">
        <v>125076596</v>
      </c>
      <c r="C24" s="1" t="s">
        <v>36</v>
      </c>
      <c r="D24" s="1" t="s">
        <v>37</v>
      </c>
      <c r="E24" s="1" t="s">
        <v>72</v>
      </c>
      <c r="F24" s="1">
        <v>1849</v>
      </c>
      <c r="G24" s="1">
        <v>16</v>
      </c>
      <c r="H24" s="1">
        <v>17</v>
      </c>
      <c r="I24" s="1">
        <v>5</v>
      </c>
      <c r="J24" s="1">
        <v>8</v>
      </c>
      <c r="K24" s="1">
        <v>4</v>
      </c>
      <c r="L24" s="1">
        <v>11</v>
      </c>
      <c r="M24" s="1">
        <v>13</v>
      </c>
      <c r="N24" s="1">
        <v>10</v>
      </c>
      <c r="O24" s="1">
        <v>18</v>
      </c>
      <c r="P24" s="1">
        <v>15</v>
      </c>
      <c r="Q24" s="1">
        <v>9</v>
      </c>
      <c r="R24" s="1">
        <v>10</v>
      </c>
      <c r="S24" s="1">
        <v>10</v>
      </c>
      <c r="T24" s="1">
        <v>8</v>
      </c>
      <c r="U24" s="1">
        <v>6</v>
      </c>
      <c r="V24" s="1">
        <v>8</v>
      </c>
      <c r="W24" s="1">
        <v>14</v>
      </c>
      <c r="X24" s="1">
        <v>5</v>
      </c>
      <c r="Y24" s="1">
        <v>15</v>
      </c>
      <c r="Z24" s="1">
        <v>10</v>
      </c>
      <c r="AA24" s="1">
        <v>12</v>
      </c>
      <c r="AB24" s="1">
        <v>8</v>
      </c>
      <c r="AC24" s="1">
        <v>4</v>
      </c>
      <c r="AD24" s="1">
        <v>10</v>
      </c>
      <c r="AE24" s="1">
        <v>8</v>
      </c>
      <c r="AF24" s="1">
        <v>11</v>
      </c>
      <c r="AG24" s="1">
        <v>9</v>
      </c>
      <c r="AH24" s="1">
        <v>7</v>
      </c>
      <c r="AI24" s="1">
        <v>4</v>
      </c>
      <c r="AJ24" s="1">
        <v>13</v>
      </c>
      <c r="AK24" s="1">
        <v>0</v>
      </c>
      <c r="AL24" s="1">
        <v>2</v>
      </c>
      <c r="AM24" s="1">
        <v>5</v>
      </c>
      <c r="AN24" s="1">
        <v>2</v>
      </c>
      <c r="AO24" s="1">
        <v>5</v>
      </c>
      <c r="AP24" s="1">
        <v>5</v>
      </c>
      <c r="AQ24" s="1">
        <v>1</v>
      </c>
      <c r="AR24" s="1">
        <v>5</v>
      </c>
      <c r="AS24" s="1">
        <v>1</v>
      </c>
      <c r="AT24" s="1">
        <v>0</v>
      </c>
      <c r="AU24" s="1">
        <v>1</v>
      </c>
      <c r="AV24" s="1">
        <v>3</v>
      </c>
      <c r="AW24" s="1">
        <v>0</v>
      </c>
      <c r="AX24" s="1">
        <v>6</v>
      </c>
      <c r="AY24" s="1">
        <v>10</v>
      </c>
      <c r="AZ24" s="1">
        <v>8</v>
      </c>
      <c r="BA24" s="1">
        <v>7</v>
      </c>
      <c r="BB24" s="1">
        <v>10</v>
      </c>
      <c r="BC24" s="1">
        <v>7</v>
      </c>
      <c r="BD24" s="1">
        <v>18</v>
      </c>
    </row>
    <row r="25" spans="1:56" x14ac:dyDescent="0.3">
      <c r="A25" s="1" t="s">
        <v>38</v>
      </c>
      <c r="B25" s="1">
        <v>72698635</v>
      </c>
      <c r="C25" s="1" t="s">
        <v>39</v>
      </c>
      <c r="D25" s="1" t="s">
        <v>40</v>
      </c>
      <c r="E25" s="1" t="s">
        <v>73</v>
      </c>
      <c r="F25" s="1">
        <v>2069</v>
      </c>
      <c r="G25" s="1">
        <v>30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</v>
      </c>
      <c r="AS25" s="1">
        <v>2</v>
      </c>
      <c r="AT25" s="1">
        <v>3</v>
      </c>
      <c r="AU25" s="1">
        <v>0</v>
      </c>
      <c r="AV25" s="1">
        <v>1</v>
      </c>
      <c r="AW25" s="1">
        <v>0</v>
      </c>
      <c r="AX25" s="1">
        <v>0</v>
      </c>
      <c r="AY25" s="1">
        <v>0</v>
      </c>
      <c r="AZ25" s="1">
        <v>1</v>
      </c>
      <c r="BA25" s="1">
        <v>0</v>
      </c>
      <c r="BB25" s="1">
        <v>1</v>
      </c>
      <c r="BC25" s="1">
        <v>2</v>
      </c>
      <c r="BD25" s="1">
        <v>1</v>
      </c>
    </row>
    <row r="26" spans="1:56" x14ac:dyDescent="0.3">
      <c r="A26" s="1" t="s">
        <v>41</v>
      </c>
      <c r="B26" s="1">
        <v>74777410</v>
      </c>
      <c r="C26" s="1" t="s">
        <v>39</v>
      </c>
      <c r="D26" s="1" t="s">
        <v>42</v>
      </c>
      <c r="E26" s="1" t="s">
        <v>74</v>
      </c>
      <c r="F26" s="1">
        <v>1149</v>
      </c>
      <c r="G26" s="1">
        <v>16</v>
      </c>
      <c r="H26" s="1">
        <v>30</v>
      </c>
      <c r="I26" s="1">
        <v>39</v>
      </c>
      <c r="J26" s="1">
        <v>61</v>
      </c>
      <c r="K26" s="1">
        <v>46</v>
      </c>
      <c r="L26" s="1">
        <v>32</v>
      </c>
      <c r="M26" s="1">
        <v>41</v>
      </c>
      <c r="N26" s="1">
        <v>55</v>
      </c>
      <c r="O26" s="1">
        <v>48</v>
      </c>
      <c r="P26" s="1">
        <v>48</v>
      </c>
      <c r="Q26" s="1">
        <v>43</v>
      </c>
      <c r="R26" s="1">
        <v>50</v>
      </c>
      <c r="S26" s="1">
        <v>48</v>
      </c>
      <c r="T26" s="1">
        <v>36</v>
      </c>
      <c r="U26" s="1">
        <v>48</v>
      </c>
      <c r="V26" s="1">
        <v>53</v>
      </c>
      <c r="W26" s="1">
        <v>43</v>
      </c>
      <c r="X26" s="1">
        <v>38</v>
      </c>
      <c r="Y26" s="1">
        <v>58</v>
      </c>
      <c r="Z26" s="1">
        <v>83</v>
      </c>
      <c r="AA26" s="1">
        <v>88</v>
      </c>
      <c r="AB26" s="1">
        <v>126</v>
      </c>
      <c r="AC26" s="1">
        <v>110</v>
      </c>
      <c r="AD26" s="1">
        <v>79</v>
      </c>
      <c r="AE26" s="1">
        <v>102</v>
      </c>
      <c r="AF26" s="1">
        <v>119</v>
      </c>
      <c r="AG26" s="1">
        <v>94</v>
      </c>
      <c r="AH26" s="1">
        <v>89</v>
      </c>
      <c r="AI26" s="1">
        <v>69</v>
      </c>
      <c r="AJ26" s="1">
        <v>58</v>
      </c>
      <c r="AK26" s="1">
        <v>52</v>
      </c>
      <c r="AL26" s="1">
        <v>23</v>
      </c>
      <c r="AM26" s="1">
        <v>33</v>
      </c>
      <c r="AN26" s="1">
        <v>30</v>
      </c>
      <c r="AO26" s="1">
        <v>50</v>
      </c>
      <c r="AP26" s="1">
        <v>44</v>
      </c>
      <c r="AQ26" s="1">
        <v>45</v>
      </c>
      <c r="AR26" s="1">
        <v>40</v>
      </c>
      <c r="AS26" s="1">
        <v>48</v>
      </c>
      <c r="AT26" s="1">
        <v>53</v>
      </c>
      <c r="AU26" s="1">
        <v>42</v>
      </c>
      <c r="AV26" s="1">
        <v>38</v>
      </c>
      <c r="AW26" s="1">
        <v>47</v>
      </c>
      <c r="AX26" s="1">
        <v>35</v>
      </c>
      <c r="AY26" s="1">
        <v>43</v>
      </c>
      <c r="AZ26" s="1">
        <v>43</v>
      </c>
      <c r="BA26" s="1">
        <v>51</v>
      </c>
      <c r="BB26" s="1">
        <v>43</v>
      </c>
      <c r="BC26" s="1">
        <v>36</v>
      </c>
      <c r="BD26" s="1">
        <v>23</v>
      </c>
    </row>
    <row r="27" spans="1:56" x14ac:dyDescent="0.3">
      <c r="A27" s="1" t="s">
        <v>44</v>
      </c>
      <c r="B27" s="1">
        <v>119455661</v>
      </c>
      <c r="C27" s="1" t="s">
        <v>43</v>
      </c>
      <c r="D27" s="1" t="s">
        <v>45</v>
      </c>
      <c r="E27" s="1" t="s">
        <v>75</v>
      </c>
      <c r="F27" s="1">
        <v>931</v>
      </c>
      <c r="G27" s="1">
        <v>20</v>
      </c>
      <c r="H27" s="1">
        <v>51</v>
      </c>
      <c r="I27" s="1">
        <v>29</v>
      </c>
      <c r="J27" s="1">
        <v>32</v>
      </c>
      <c r="K27" s="1">
        <v>39</v>
      </c>
      <c r="L27" s="1">
        <v>24</v>
      </c>
      <c r="M27" s="1">
        <v>29</v>
      </c>
      <c r="N27" s="1">
        <v>36</v>
      </c>
      <c r="O27" s="1">
        <v>36</v>
      </c>
      <c r="P27" s="1">
        <v>35</v>
      </c>
      <c r="Q27" s="1">
        <v>32</v>
      </c>
      <c r="R27" s="1">
        <v>35</v>
      </c>
      <c r="S27" s="1">
        <v>31</v>
      </c>
      <c r="T27" s="1">
        <v>46</v>
      </c>
      <c r="U27" s="1">
        <v>30</v>
      </c>
      <c r="V27" s="1">
        <v>32</v>
      </c>
      <c r="W27" s="1">
        <v>25</v>
      </c>
      <c r="X27" s="1">
        <v>29</v>
      </c>
      <c r="Y27" s="1">
        <v>28</v>
      </c>
      <c r="Z27" s="1">
        <v>24</v>
      </c>
      <c r="AA27" s="1">
        <v>22</v>
      </c>
      <c r="AB27" s="1">
        <v>42</v>
      </c>
      <c r="AC27" s="1">
        <v>43</v>
      </c>
      <c r="AD27" s="1">
        <v>34</v>
      </c>
      <c r="AE27" s="1">
        <v>27</v>
      </c>
      <c r="AF27" s="1">
        <v>41</v>
      </c>
      <c r="AG27" s="1">
        <v>36</v>
      </c>
      <c r="AH27" s="1">
        <v>32</v>
      </c>
      <c r="AI27" s="1">
        <v>23</v>
      </c>
      <c r="AJ27" s="1">
        <v>32</v>
      </c>
      <c r="AK27" s="1">
        <v>16</v>
      </c>
      <c r="AL27" s="1">
        <v>7</v>
      </c>
      <c r="AM27" s="1">
        <v>12</v>
      </c>
      <c r="AN27" s="1">
        <v>24</v>
      </c>
      <c r="AO27" s="1">
        <v>19</v>
      </c>
      <c r="AP27" s="1">
        <v>21</v>
      </c>
      <c r="AQ27" s="1">
        <v>22</v>
      </c>
      <c r="AR27" s="1">
        <v>23</v>
      </c>
      <c r="AS27" s="1">
        <v>22</v>
      </c>
      <c r="AT27" s="1">
        <v>30</v>
      </c>
      <c r="AU27" s="1">
        <v>19</v>
      </c>
      <c r="AV27" s="1">
        <v>22</v>
      </c>
      <c r="AW27" s="1">
        <v>35</v>
      </c>
      <c r="AX27" s="1">
        <v>33</v>
      </c>
      <c r="AY27" s="1">
        <v>35</v>
      </c>
      <c r="AZ27" s="1">
        <v>35</v>
      </c>
      <c r="BA27" s="1">
        <v>35</v>
      </c>
      <c r="BB27" s="1">
        <v>29</v>
      </c>
      <c r="BC27" s="1">
        <v>53</v>
      </c>
      <c r="BD27" s="1">
        <v>28</v>
      </c>
    </row>
    <row r="28" spans="1:56" x14ac:dyDescent="0.3">
      <c r="A28" s="1" t="s">
        <v>46</v>
      </c>
      <c r="B28" s="1">
        <v>125107271</v>
      </c>
      <c r="C28" s="1" t="s">
        <v>43</v>
      </c>
      <c r="D28" s="1" t="s">
        <v>47</v>
      </c>
      <c r="E28" s="1" t="s">
        <v>76</v>
      </c>
      <c r="F28" s="1">
        <v>1449</v>
      </c>
      <c r="G28" s="1">
        <v>20</v>
      </c>
      <c r="H28" s="1">
        <v>22</v>
      </c>
      <c r="I28" s="1">
        <v>44</v>
      </c>
      <c r="J28" s="1">
        <v>38</v>
      </c>
      <c r="K28" s="1">
        <v>54</v>
      </c>
      <c r="L28" s="1">
        <v>54</v>
      </c>
      <c r="M28" s="1">
        <v>69</v>
      </c>
      <c r="N28" s="1">
        <v>99</v>
      </c>
      <c r="O28" s="1">
        <v>103</v>
      </c>
      <c r="P28" s="1">
        <v>122</v>
      </c>
      <c r="Q28" s="1">
        <v>131</v>
      </c>
      <c r="R28" s="1">
        <v>156</v>
      </c>
      <c r="S28" s="1">
        <v>143</v>
      </c>
      <c r="T28" s="1">
        <v>41</v>
      </c>
      <c r="U28" s="1">
        <v>82</v>
      </c>
      <c r="V28" s="1">
        <v>122</v>
      </c>
      <c r="W28" s="1">
        <v>133</v>
      </c>
      <c r="X28" s="1">
        <v>2</v>
      </c>
      <c r="Y28" s="1">
        <v>5</v>
      </c>
      <c r="Z28" s="1">
        <v>155</v>
      </c>
      <c r="AA28" s="1">
        <v>11</v>
      </c>
      <c r="AB28" s="1">
        <v>3</v>
      </c>
      <c r="AC28" s="1">
        <v>2</v>
      </c>
      <c r="AD28" s="1">
        <v>3</v>
      </c>
      <c r="AE28" s="1">
        <v>7</v>
      </c>
      <c r="AF28" s="1">
        <v>11</v>
      </c>
      <c r="AG28" s="1">
        <v>3</v>
      </c>
      <c r="AH28" s="1">
        <v>2</v>
      </c>
      <c r="AI28" s="1">
        <v>3</v>
      </c>
      <c r="AJ28" s="1">
        <v>3</v>
      </c>
      <c r="AK28" s="1">
        <v>1</v>
      </c>
      <c r="AL28" s="1">
        <v>1</v>
      </c>
      <c r="AM28" s="1">
        <v>6</v>
      </c>
      <c r="AN28" s="1">
        <v>3</v>
      </c>
      <c r="AO28" s="1">
        <v>3</v>
      </c>
      <c r="AP28" s="1">
        <v>3</v>
      </c>
      <c r="AQ28" s="1">
        <v>0</v>
      </c>
      <c r="AR28" s="1">
        <v>2</v>
      </c>
      <c r="AS28" s="1">
        <v>0</v>
      </c>
      <c r="AT28" s="1">
        <v>2</v>
      </c>
      <c r="AU28" s="1">
        <v>3</v>
      </c>
      <c r="AV28" s="1">
        <v>20</v>
      </c>
      <c r="AW28" s="1">
        <v>2</v>
      </c>
      <c r="AX28" s="1">
        <v>1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2</v>
      </c>
    </row>
    <row r="29" spans="1:56" x14ac:dyDescent="0.3">
      <c r="A29" s="1" t="s">
        <v>48</v>
      </c>
      <c r="B29" s="1">
        <v>139344402</v>
      </c>
      <c r="C29" s="1" t="s">
        <v>49</v>
      </c>
      <c r="D29" s="1" t="s">
        <v>50</v>
      </c>
      <c r="E29" s="1" t="s">
        <v>56</v>
      </c>
      <c r="F29" s="1">
        <v>1426</v>
      </c>
      <c r="G29" s="1">
        <v>17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3</v>
      </c>
      <c r="P29" s="1">
        <v>0</v>
      </c>
      <c r="Q29" s="1">
        <v>1</v>
      </c>
      <c r="R29" s="1">
        <v>1</v>
      </c>
      <c r="S29" s="1">
        <v>2</v>
      </c>
      <c r="T29" s="1">
        <v>2</v>
      </c>
      <c r="U29" s="1">
        <v>4</v>
      </c>
      <c r="V29" s="1">
        <v>3</v>
      </c>
      <c r="W29" s="1">
        <v>5</v>
      </c>
      <c r="X29" s="1">
        <v>2</v>
      </c>
      <c r="Y29" s="1">
        <v>2</v>
      </c>
      <c r="Z29" s="1">
        <v>5</v>
      </c>
      <c r="AA29" s="1">
        <v>3</v>
      </c>
      <c r="AB29" s="1">
        <v>2</v>
      </c>
      <c r="AC29" s="1">
        <v>5</v>
      </c>
      <c r="AD29" s="1">
        <v>8</v>
      </c>
      <c r="AE29" s="1">
        <v>5</v>
      </c>
      <c r="AF29" s="1">
        <v>11</v>
      </c>
      <c r="AG29" s="1">
        <v>4</v>
      </c>
      <c r="AH29" s="1">
        <v>3</v>
      </c>
      <c r="AI29" s="1">
        <v>5</v>
      </c>
      <c r="AJ29" s="1">
        <v>2</v>
      </c>
      <c r="AK29" s="1">
        <v>0</v>
      </c>
      <c r="AL29" s="1">
        <v>0</v>
      </c>
      <c r="AM29" s="1">
        <v>0</v>
      </c>
      <c r="AN29" s="1">
        <v>0</v>
      </c>
      <c r="AO29" s="1">
        <v>4</v>
      </c>
      <c r="AP29" s="1">
        <v>1</v>
      </c>
      <c r="AQ29" s="1">
        <v>2</v>
      </c>
      <c r="AR29" s="1">
        <v>2</v>
      </c>
      <c r="AS29" s="1">
        <v>2</v>
      </c>
      <c r="AT29" s="1">
        <v>2</v>
      </c>
      <c r="AU29" s="1">
        <v>2</v>
      </c>
      <c r="AV29" s="1">
        <v>4</v>
      </c>
      <c r="AW29" s="1">
        <v>2</v>
      </c>
      <c r="AX29" s="1">
        <v>0</v>
      </c>
      <c r="AY29" s="1">
        <v>2</v>
      </c>
      <c r="AZ29" s="1">
        <v>3</v>
      </c>
      <c r="BA29" s="1">
        <v>3</v>
      </c>
      <c r="BB29" s="1">
        <v>2</v>
      </c>
      <c r="BC29" s="1">
        <v>0</v>
      </c>
      <c r="BD29" s="1">
        <v>0</v>
      </c>
    </row>
    <row r="30" spans="1:56" x14ac:dyDescent="0.3">
      <c r="A30" s="1" t="s">
        <v>51</v>
      </c>
      <c r="B30" s="1">
        <v>120924563</v>
      </c>
      <c r="C30" s="1" t="s">
        <v>52</v>
      </c>
      <c r="D30" s="1" t="s">
        <v>53</v>
      </c>
      <c r="E30" s="1" t="s">
        <v>77</v>
      </c>
      <c r="F30" s="1">
        <v>1334</v>
      </c>
      <c r="G30" s="1">
        <v>20</v>
      </c>
      <c r="H30" s="1">
        <v>7</v>
      </c>
      <c r="I30" s="1">
        <v>3</v>
      </c>
      <c r="J30" s="1">
        <v>3</v>
      </c>
      <c r="K30" s="1">
        <v>6</v>
      </c>
      <c r="L30" s="1">
        <v>13</v>
      </c>
      <c r="M30" s="1">
        <v>5</v>
      </c>
      <c r="N30" s="1">
        <v>5</v>
      </c>
      <c r="O30" s="1">
        <v>6</v>
      </c>
      <c r="P30" s="1">
        <v>3</v>
      </c>
      <c r="Q30" s="1">
        <v>2</v>
      </c>
      <c r="R30" s="1">
        <v>5</v>
      </c>
      <c r="S30" s="1">
        <v>3</v>
      </c>
      <c r="T30" s="1">
        <v>5</v>
      </c>
      <c r="U30" s="1">
        <v>4</v>
      </c>
      <c r="V30" s="1">
        <v>3</v>
      </c>
      <c r="W30" s="1">
        <v>4</v>
      </c>
      <c r="X30" s="1">
        <v>5</v>
      </c>
      <c r="Y30" s="1">
        <v>2</v>
      </c>
      <c r="Z30" s="1">
        <v>3</v>
      </c>
      <c r="AA30" s="1">
        <v>3</v>
      </c>
      <c r="AB30" s="1">
        <v>3</v>
      </c>
      <c r="AC30" s="1">
        <v>3</v>
      </c>
      <c r="AD30" s="1">
        <v>3</v>
      </c>
      <c r="AE30" s="1">
        <v>2</v>
      </c>
      <c r="AF30" s="1">
        <v>0</v>
      </c>
      <c r="AG30" s="1">
        <v>4</v>
      </c>
      <c r="AH30" s="1">
        <v>2</v>
      </c>
      <c r="AI30" s="1">
        <v>3</v>
      </c>
      <c r="AJ30" s="1">
        <v>2</v>
      </c>
      <c r="AK30" s="1">
        <v>3</v>
      </c>
      <c r="AL30" s="1">
        <v>1</v>
      </c>
      <c r="AM30" s="1">
        <v>2</v>
      </c>
      <c r="AN30" s="1">
        <v>1</v>
      </c>
      <c r="AO30" s="1">
        <v>0</v>
      </c>
      <c r="AP30" s="1">
        <v>3</v>
      </c>
      <c r="AQ30" s="1">
        <v>1</v>
      </c>
      <c r="AR30" s="1">
        <v>0</v>
      </c>
      <c r="AS30" s="1">
        <v>3</v>
      </c>
      <c r="AT30" s="1">
        <v>0</v>
      </c>
      <c r="AU30" s="1">
        <v>1</v>
      </c>
      <c r="AV30" s="1">
        <v>2</v>
      </c>
      <c r="AW30" s="1">
        <v>2</v>
      </c>
      <c r="AX30" s="1">
        <v>1</v>
      </c>
      <c r="AY30" s="1">
        <v>2</v>
      </c>
      <c r="AZ30" s="1">
        <v>1</v>
      </c>
      <c r="BA30" s="1">
        <v>0</v>
      </c>
      <c r="BB30" s="1">
        <v>3</v>
      </c>
      <c r="BC30" s="1">
        <v>0</v>
      </c>
      <c r="BD30" s="1">
        <v>2</v>
      </c>
    </row>
  </sheetData>
  <mergeCells count="6">
    <mergeCell ref="A1:G1"/>
    <mergeCell ref="A5:F5"/>
    <mergeCell ref="A6:F6"/>
    <mergeCell ref="A2:F2"/>
    <mergeCell ref="A3:F3"/>
    <mergeCell ref="A4:F4"/>
  </mergeCells>
  <conditionalFormatting sqref="BE10:BF32 H12:BD30">
    <cfRule type="cellIs" dxfId="0" priority="132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85DC-5475-4F58-AB20-BEE96533E1F7}">
  <dimension ref="A1:F30"/>
  <sheetViews>
    <sheetView workbookViewId="0">
      <selection activeCell="A15" sqref="A15:F15"/>
    </sheetView>
  </sheetViews>
  <sheetFormatPr defaultRowHeight="14.4" x14ac:dyDescent="0.3"/>
  <cols>
    <col min="1" max="1" width="34.109375" customWidth="1"/>
    <col min="6" max="6" width="6.88671875" customWidth="1"/>
  </cols>
  <sheetData>
    <row r="1" spans="1:6" ht="38.25" customHeight="1" x14ac:dyDescent="0.3">
      <c r="A1" s="17" t="s">
        <v>127</v>
      </c>
      <c r="B1" s="18"/>
      <c r="C1" s="18"/>
      <c r="D1" s="18"/>
      <c r="E1" s="18"/>
      <c r="F1" s="18"/>
    </row>
    <row r="4" spans="1:6" x14ac:dyDescent="0.3">
      <c r="A4" s="11" t="s">
        <v>2</v>
      </c>
      <c r="B4" s="11" t="s">
        <v>80</v>
      </c>
    </row>
    <row r="5" spans="1:6" x14ac:dyDescent="0.3">
      <c r="A5" t="s">
        <v>108</v>
      </c>
      <c r="B5" s="12">
        <v>74268606</v>
      </c>
    </row>
    <row r="6" spans="1:6" x14ac:dyDescent="0.3">
      <c r="A6" t="s">
        <v>104</v>
      </c>
      <c r="B6" s="12">
        <v>74210862</v>
      </c>
    </row>
    <row r="7" spans="1:6" x14ac:dyDescent="0.3">
      <c r="A7" t="s">
        <v>100</v>
      </c>
      <c r="B7" s="12">
        <v>74210863</v>
      </c>
    </row>
    <row r="8" spans="1:6" x14ac:dyDescent="0.3">
      <c r="A8" t="s">
        <v>105</v>
      </c>
      <c r="B8" s="12">
        <v>74210864</v>
      </c>
    </row>
    <row r="9" spans="1:6" x14ac:dyDescent="0.3">
      <c r="A9" t="s">
        <v>103</v>
      </c>
      <c r="B9" s="12">
        <v>40557118</v>
      </c>
    </row>
    <row r="15" spans="1:6" ht="51.75" customHeight="1" x14ac:dyDescent="0.3">
      <c r="A15" s="17" t="s">
        <v>125</v>
      </c>
      <c r="B15" s="18"/>
      <c r="C15" s="18"/>
      <c r="D15" s="18"/>
      <c r="E15" s="18"/>
      <c r="F15" s="18"/>
    </row>
    <row r="16" spans="1:6" ht="32.25" customHeight="1" x14ac:dyDescent="0.3">
      <c r="A16" s="19" t="s">
        <v>59</v>
      </c>
      <c r="B16" s="19"/>
      <c r="C16" s="19"/>
      <c r="D16" s="19"/>
      <c r="E16" s="19"/>
      <c r="F16" s="19"/>
    </row>
    <row r="21" spans="1:6" x14ac:dyDescent="0.3">
      <c r="A21" s="11" t="s">
        <v>2</v>
      </c>
      <c r="B21" s="11" t="s">
        <v>80</v>
      </c>
    </row>
    <row r="22" spans="1:6" x14ac:dyDescent="0.3">
      <c r="A22" t="s">
        <v>104</v>
      </c>
      <c r="B22" s="12">
        <v>74210862</v>
      </c>
    </row>
    <row r="23" spans="1:6" x14ac:dyDescent="0.3">
      <c r="A23" t="s">
        <v>100</v>
      </c>
      <c r="B23" s="12">
        <v>74210863</v>
      </c>
    </row>
    <row r="24" spans="1:6" x14ac:dyDescent="0.3">
      <c r="A24" t="s">
        <v>105</v>
      </c>
      <c r="B24" s="12">
        <v>74210864</v>
      </c>
    </row>
    <row r="25" spans="1:6" x14ac:dyDescent="0.3">
      <c r="A25" t="s">
        <v>108</v>
      </c>
      <c r="B25" s="12">
        <v>74268606</v>
      </c>
    </row>
    <row r="30" spans="1:6" ht="9.75" customHeight="1" x14ac:dyDescent="0.3">
      <c r="A30" s="17"/>
      <c r="B30" s="18"/>
      <c r="C30" s="18"/>
      <c r="D30" s="18"/>
      <c r="E30" s="18"/>
      <c r="F30" s="18"/>
    </row>
  </sheetData>
  <mergeCells count="4">
    <mergeCell ref="A15:F15"/>
    <mergeCell ref="A16:F16"/>
    <mergeCell ref="A1:F1"/>
    <mergeCell ref="A30:F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55D3-2178-44A1-B58A-E8B9AE631D2C}">
  <dimension ref="A1:U62"/>
  <sheetViews>
    <sheetView workbookViewId="0">
      <selection activeCell="L32" sqref="L32"/>
    </sheetView>
  </sheetViews>
  <sheetFormatPr defaultRowHeight="14.4" x14ac:dyDescent="0.3"/>
  <cols>
    <col min="5" max="5" width="13.88671875" customWidth="1"/>
    <col min="8" max="8" width="27" customWidth="1"/>
    <col min="9" max="9" width="12.33203125" customWidth="1"/>
    <col min="10" max="10" width="11.109375" customWidth="1"/>
    <col min="20" max="20" width="14.109375" customWidth="1"/>
    <col min="21" max="21" width="13.6640625" customWidth="1"/>
  </cols>
  <sheetData>
    <row r="1" spans="1:21" x14ac:dyDescent="0.3">
      <c r="A1" s="1" t="s">
        <v>78</v>
      </c>
      <c r="B1" s="1" t="s">
        <v>79</v>
      </c>
      <c r="C1" s="1" t="s">
        <v>55</v>
      </c>
      <c r="D1" s="1" t="s">
        <v>0</v>
      </c>
      <c r="E1" s="7" t="s">
        <v>80</v>
      </c>
      <c r="F1" s="1" t="s">
        <v>1</v>
      </c>
      <c r="G1" s="1" t="s">
        <v>81</v>
      </c>
      <c r="H1" s="1" t="s">
        <v>2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 x14ac:dyDescent="0.3">
      <c r="A2" s="1" t="s">
        <v>95</v>
      </c>
      <c r="B2" s="1" t="s">
        <v>96</v>
      </c>
      <c r="C2" s="1" t="s">
        <v>97</v>
      </c>
      <c r="D2" s="1" t="s">
        <v>98</v>
      </c>
      <c r="E2" s="7">
        <v>74210863</v>
      </c>
      <c r="F2" s="1" t="s">
        <v>10</v>
      </c>
      <c r="G2" s="1" t="s">
        <v>99</v>
      </c>
      <c r="H2" s="1" t="s">
        <v>100</v>
      </c>
      <c r="I2" s="8">
        <v>0</v>
      </c>
      <c r="J2" s="8">
        <v>0</v>
      </c>
      <c r="K2" s="8">
        <v>0</v>
      </c>
      <c r="L2" s="1">
        <v>315</v>
      </c>
      <c r="M2" s="1">
        <v>4.7</v>
      </c>
      <c r="N2" s="8">
        <v>0</v>
      </c>
      <c r="O2" s="8">
        <v>0</v>
      </c>
      <c r="P2" s="1">
        <v>0</v>
      </c>
      <c r="Q2" s="8">
        <v>0</v>
      </c>
      <c r="R2" s="8">
        <v>0</v>
      </c>
      <c r="S2" s="1">
        <v>0</v>
      </c>
      <c r="T2" s="1">
        <v>1</v>
      </c>
      <c r="U2" s="9">
        <f t="shared" ref="U2:U33" si="0">T2*L2</f>
        <v>315</v>
      </c>
    </row>
    <row r="3" spans="1:21" x14ac:dyDescent="0.3">
      <c r="A3" s="1" t="s">
        <v>95</v>
      </c>
      <c r="B3" s="1" t="s">
        <v>96</v>
      </c>
      <c r="C3" s="1" t="s">
        <v>101</v>
      </c>
      <c r="D3" s="1" t="s">
        <v>102</v>
      </c>
      <c r="E3" s="7">
        <v>40557118</v>
      </c>
      <c r="F3" s="1" t="s">
        <v>24</v>
      </c>
      <c r="G3" s="1" t="s">
        <v>99</v>
      </c>
      <c r="H3" s="1" t="s">
        <v>103</v>
      </c>
      <c r="I3" s="9">
        <v>1230</v>
      </c>
      <c r="J3" s="1">
        <v>53</v>
      </c>
      <c r="K3" s="1">
        <v>578</v>
      </c>
      <c r="L3" s="1"/>
      <c r="M3" s="8">
        <v>0</v>
      </c>
      <c r="N3" s="1">
        <v>1</v>
      </c>
      <c r="O3" s="1">
        <v>578</v>
      </c>
      <c r="P3" s="1">
        <v>12</v>
      </c>
      <c r="Q3" s="8">
        <v>0</v>
      </c>
      <c r="R3" s="8">
        <v>0</v>
      </c>
      <c r="S3" s="1">
        <v>0</v>
      </c>
      <c r="T3" s="8">
        <v>0</v>
      </c>
      <c r="U3" s="9">
        <f t="shared" si="0"/>
        <v>0</v>
      </c>
    </row>
    <row r="4" spans="1:21" x14ac:dyDescent="0.3">
      <c r="A4" s="1" t="s">
        <v>95</v>
      </c>
      <c r="B4" s="1" t="s">
        <v>96</v>
      </c>
      <c r="C4" s="1" t="s">
        <v>97</v>
      </c>
      <c r="D4" s="1" t="s">
        <v>98</v>
      </c>
      <c r="E4" s="7">
        <v>74210862</v>
      </c>
      <c r="F4" s="1" t="s">
        <v>10</v>
      </c>
      <c r="G4" s="1" t="s">
        <v>99</v>
      </c>
      <c r="H4" s="1" t="s">
        <v>104</v>
      </c>
      <c r="I4" s="1">
        <v>948</v>
      </c>
      <c r="J4" s="1">
        <v>71</v>
      </c>
      <c r="K4" s="1">
        <v>275</v>
      </c>
      <c r="L4" s="1">
        <v>315</v>
      </c>
      <c r="M4" s="1">
        <v>4.7</v>
      </c>
      <c r="N4" s="1">
        <v>3</v>
      </c>
      <c r="O4" s="1">
        <v>849</v>
      </c>
      <c r="P4" s="1">
        <v>54.900000000000006</v>
      </c>
      <c r="Q4" s="8">
        <v>0</v>
      </c>
      <c r="R4" s="8">
        <v>0</v>
      </c>
      <c r="S4" s="1">
        <v>0</v>
      </c>
      <c r="T4" s="8">
        <v>0</v>
      </c>
      <c r="U4" s="9">
        <f t="shared" si="0"/>
        <v>0</v>
      </c>
    </row>
    <row r="5" spans="1:21" x14ac:dyDescent="0.3">
      <c r="A5" s="1" t="s">
        <v>95</v>
      </c>
      <c r="B5" s="1" t="s">
        <v>96</v>
      </c>
      <c r="C5" s="1" t="s">
        <v>97</v>
      </c>
      <c r="D5" s="1" t="s">
        <v>98</v>
      </c>
      <c r="E5" s="7">
        <v>74210864</v>
      </c>
      <c r="F5" s="1" t="s">
        <v>10</v>
      </c>
      <c r="G5" s="1" t="s">
        <v>99</v>
      </c>
      <c r="H5" s="1" t="s">
        <v>105</v>
      </c>
      <c r="I5" s="8">
        <v>0</v>
      </c>
      <c r="J5" s="8">
        <v>0</v>
      </c>
      <c r="K5" s="8">
        <v>0</v>
      </c>
      <c r="L5" s="10">
        <v>315</v>
      </c>
      <c r="M5" s="1">
        <v>4.7</v>
      </c>
      <c r="N5" s="8">
        <v>0</v>
      </c>
      <c r="O5" s="8">
        <v>0</v>
      </c>
      <c r="P5" s="1">
        <v>0</v>
      </c>
      <c r="Q5" s="8">
        <v>0</v>
      </c>
      <c r="R5" s="8">
        <v>0</v>
      </c>
      <c r="S5" s="1">
        <v>0</v>
      </c>
      <c r="T5" s="1">
        <v>1</v>
      </c>
      <c r="U5" s="9">
        <f t="shared" si="0"/>
        <v>315</v>
      </c>
    </row>
    <row r="6" spans="1:21" x14ac:dyDescent="0.3">
      <c r="A6" s="1" t="s">
        <v>95</v>
      </c>
      <c r="B6" s="1" t="s">
        <v>96</v>
      </c>
      <c r="C6" s="1" t="s">
        <v>106</v>
      </c>
      <c r="D6" s="1" t="s">
        <v>107</v>
      </c>
      <c r="E6" s="7">
        <v>74268606</v>
      </c>
      <c r="F6" s="1" t="s">
        <v>10</v>
      </c>
      <c r="G6" s="1" t="s">
        <v>99</v>
      </c>
      <c r="H6" s="1" t="s">
        <v>108</v>
      </c>
      <c r="I6" s="9">
        <v>1016</v>
      </c>
      <c r="J6" s="1">
        <v>69</v>
      </c>
      <c r="K6" s="1">
        <v>315</v>
      </c>
      <c r="L6" s="1">
        <v>359</v>
      </c>
      <c r="M6" s="1">
        <v>4.5</v>
      </c>
      <c r="N6" s="1">
        <v>4</v>
      </c>
      <c r="O6" s="1">
        <v>1284</v>
      </c>
      <c r="P6" s="1">
        <v>82</v>
      </c>
      <c r="Q6" s="8">
        <v>0</v>
      </c>
      <c r="R6" s="8">
        <v>0</v>
      </c>
      <c r="S6" s="1">
        <v>0</v>
      </c>
      <c r="T6" s="1">
        <v>8</v>
      </c>
      <c r="U6" s="9">
        <f t="shared" si="0"/>
        <v>2872</v>
      </c>
    </row>
    <row r="7" spans="1:21" x14ac:dyDescent="0.3">
      <c r="A7" s="1" t="s">
        <v>109</v>
      </c>
      <c r="B7" s="1" t="s">
        <v>96</v>
      </c>
      <c r="C7" s="1" t="s">
        <v>101</v>
      </c>
      <c r="D7" s="1" t="s">
        <v>102</v>
      </c>
      <c r="E7" s="7">
        <v>40557118</v>
      </c>
      <c r="F7" s="1" t="s">
        <v>24</v>
      </c>
      <c r="G7" s="1" t="s">
        <v>99</v>
      </c>
      <c r="H7" s="1" t="s">
        <v>103</v>
      </c>
      <c r="I7" s="8">
        <v>0</v>
      </c>
      <c r="J7" s="8">
        <v>0</v>
      </c>
      <c r="K7" s="8">
        <v>0</v>
      </c>
      <c r="L7" s="1"/>
      <c r="M7" s="8">
        <v>0</v>
      </c>
      <c r="N7" s="8">
        <v>0</v>
      </c>
      <c r="O7" s="8">
        <v>0</v>
      </c>
      <c r="P7" s="1">
        <v>0</v>
      </c>
      <c r="Q7" s="8">
        <v>0</v>
      </c>
      <c r="R7" s="8">
        <v>0</v>
      </c>
      <c r="S7" s="1">
        <v>0</v>
      </c>
      <c r="T7" s="8">
        <v>0</v>
      </c>
      <c r="U7" s="9">
        <f t="shared" si="0"/>
        <v>0</v>
      </c>
    </row>
    <row r="8" spans="1:21" x14ac:dyDescent="0.3">
      <c r="A8" s="1" t="s">
        <v>109</v>
      </c>
      <c r="B8" s="1" t="s">
        <v>96</v>
      </c>
      <c r="C8" s="1" t="s">
        <v>97</v>
      </c>
      <c r="D8" s="1" t="s">
        <v>98</v>
      </c>
      <c r="E8" s="7">
        <v>74210862</v>
      </c>
      <c r="F8" s="1" t="s">
        <v>10</v>
      </c>
      <c r="G8" s="1" t="s">
        <v>99</v>
      </c>
      <c r="H8" s="1" t="s">
        <v>104</v>
      </c>
      <c r="I8" s="1">
        <v>934</v>
      </c>
      <c r="J8" s="1">
        <v>68</v>
      </c>
      <c r="K8" s="1">
        <v>299</v>
      </c>
      <c r="L8" s="1">
        <v>315</v>
      </c>
      <c r="M8" s="1">
        <v>4.7</v>
      </c>
      <c r="N8" s="1">
        <v>1</v>
      </c>
      <c r="O8" s="1">
        <v>299</v>
      </c>
      <c r="P8" s="1">
        <v>18.3</v>
      </c>
      <c r="Q8" s="8">
        <v>0</v>
      </c>
      <c r="R8" s="8">
        <v>0</v>
      </c>
      <c r="S8" s="1">
        <v>0</v>
      </c>
      <c r="T8" s="8">
        <v>0</v>
      </c>
      <c r="U8" s="9">
        <f t="shared" si="0"/>
        <v>0</v>
      </c>
    </row>
    <row r="9" spans="1:21" x14ac:dyDescent="0.3">
      <c r="A9" s="1" t="s">
        <v>109</v>
      </c>
      <c r="B9" s="1" t="s">
        <v>96</v>
      </c>
      <c r="C9" s="1" t="s">
        <v>106</v>
      </c>
      <c r="D9" s="1" t="s">
        <v>107</v>
      </c>
      <c r="E9" s="7">
        <v>74268606</v>
      </c>
      <c r="F9" s="1" t="s">
        <v>10</v>
      </c>
      <c r="G9" s="1" t="s">
        <v>99</v>
      </c>
      <c r="H9" s="1" t="s">
        <v>108</v>
      </c>
      <c r="I9" s="9">
        <v>1016</v>
      </c>
      <c r="J9" s="1">
        <v>69</v>
      </c>
      <c r="K9" s="1">
        <v>315</v>
      </c>
      <c r="L9" s="1">
        <v>359</v>
      </c>
      <c r="M9" s="1">
        <v>4.5</v>
      </c>
      <c r="N9" s="1">
        <v>4</v>
      </c>
      <c r="O9" s="1">
        <v>1328</v>
      </c>
      <c r="P9" s="1">
        <v>82</v>
      </c>
      <c r="Q9" s="8">
        <v>0</v>
      </c>
      <c r="R9" s="8">
        <v>0</v>
      </c>
      <c r="S9" s="1">
        <v>0</v>
      </c>
      <c r="T9" s="8">
        <v>0</v>
      </c>
      <c r="U9" s="9">
        <f t="shared" si="0"/>
        <v>0</v>
      </c>
    </row>
    <row r="10" spans="1:21" x14ac:dyDescent="0.3">
      <c r="A10" s="1" t="s">
        <v>110</v>
      </c>
      <c r="B10" s="1" t="s">
        <v>96</v>
      </c>
      <c r="C10" s="1" t="s">
        <v>97</v>
      </c>
      <c r="D10" s="1" t="s">
        <v>98</v>
      </c>
      <c r="E10" s="7">
        <v>74210863</v>
      </c>
      <c r="F10" s="1" t="s">
        <v>10</v>
      </c>
      <c r="G10" s="1" t="s">
        <v>99</v>
      </c>
      <c r="H10" s="1" t="s">
        <v>100</v>
      </c>
      <c r="I10" s="1">
        <v>955</v>
      </c>
      <c r="J10" s="1">
        <v>67</v>
      </c>
      <c r="K10" s="1">
        <v>315</v>
      </c>
      <c r="L10" s="1">
        <v>315</v>
      </c>
      <c r="M10" s="1">
        <v>4.7</v>
      </c>
      <c r="N10" s="1">
        <v>1</v>
      </c>
      <c r="O10" s="1">
        <v>315</v>
      </c>
      <c r="P10" s="1">
        <v>19.100000000000001</v>
      </c>
      <c r="Q10" s="8">
        <v>0</v>
      </c>
      <c r="R10" s="8">
        <v>0</v>
      </c>
      <c r="S10" s="1">
        <v>0</v>
      </c>
      <c r="T10" s="8">
        <v>0</v>
      </c>
      <c r="U10" s="9">
        <f t="shared" si="0"/>
        <v>0</v>
      </c>
    </row>
    <row r="11" spans="1:21" x14ac:dyDescent="0.3">
      <c r="A11" s="1" t="s">
        <v>110</v>
      </c>
      <c r="B11" s="1" t="s">
        <v>96</v>
      </c>
      <c r="C11" s="1" t="s">
        <v>101</v>
      </c>
      <c r="D11" s="1" t="s">
        <v>102</v>
      </c>
      <c r="E11" s="7">
        <v>40557118</v>
      </c>
      <c r="F11" s="1" t="s">
        <v>24</v>
      </c>
      <c r="G11" s="1" t="s">
        <v>99</v>
      </c>
      <c r="H11" s="1" t="s">
        <v>103</v>
      </c>
      <c r="I11" s="9">
        <v>1230</v>
      </c>
      <c r="J11" s="1">
        <v>53</v>
      </c>
      <c r="K11" s="1">
        <v>578</v>
      </c>
      <c r="L11" s="1"/>
      <c r="M11" s="8">
        <v>0</v>
      </c>
      <c r="N11" s="1">
        <v>2</v>
      </c>
      <c r="O11" s="1">
        <v>1207</v>
      </c>
      <c r="P11" s="1">
        <v>24</v>
      </c>
      <c r="Q11" s="8">
        <v>0</v>
      </c>
      <c r="R11" s="8">
        <v>0</v>
      </c>
      <c r="S11" s="1">
        <v>0</v>
      </c>
      <c r="T11" s="8">
        <v>0</v>
      </c>
      <c r="U11" s="9">
        <f t="shared" si="0"/>
        <v>0</v>
      </c>
    </row>
    <row r="12" spans="1:21" x14ac:dyDescent="0.3">
      <c r="A12" s="1" t="s">
        <v>110</v>
      </c>
      <c r="B12" s="1" t="s">
        <v>96</v>
      </c>
      <c r="C12" s="1" t="s">
        <v>97</v>
      </c>
      <c r="D12" s="1" t="s">
        <v>98</v>
      </c>
      <c r="E12" s="7">
        <v>74210862</v>
      </c>
      <c r="F12" s="1" t="s">
        <v>10</v>
      </c>
      <c r="G12" s="1" t="s">
        <v>99</v>
      </c>
      <c r="H12" s="1" t="s">
        <v>104</v>
      </c>
      <c r="I12" s="1">
        <v>948</v>
      </c>
      <c r="J12" s="1">
        <v>71</v>
      </c>
      <c r="K12" s="1">
        <v>275</v>
      </c>
      <c r="L12" s="1">
        <v>315</v>
      </c>
      <c r="M12" s="1">
        <v>4.7</v>
      </c>
      <c r="N12" s="1">
        <v>2</v>
      </c>
      <c r="O12" s="1">
        <v>550</v>
      </c>
      <c r="P12" s="1">
        <v>36.6</v>
      </c>
      <c r="Q12" s="8">
        <v>0</v>
      </c>
      <c r="R12" s="8">
        <v>0</v>
      </c>
      <c r="S12" s="1">
        <v>0</v>
      </c>
      <c r="T12" s="8">
        <v>0</v>
      </c>
      <c r="U12" s="9">
        <f t="shared" si="0"/>
        <v>0</v>
      </c>
    </row>
    <row r="13" spans="1:21" x14ac:dyDescent="0.3">
      <c r="A13" s="1" t="s">
        <v>110</v>
      </c>
      <c r="B13" s="1" t="s">
        <v>96</v>
      </c>
      <c r="C13" s="1" t="s">
        <v>97</v>
      </c>
      <c r="D13" s="1" t="s">
        <v>98</v>
      </c>
      <c r="E13" s="7">
        <v>74210864</v>
      </c>
      <c r="F13" s="1" t="s">
        <v>10</v>
      </c>
      <c r="G13" s="1" t="s">
        <v>99</v>
      </c>
      <c r="H13" s="1" t="s">
        <v>105</v>
      </c>
      <c r="I13" s="1">
        <v>948</v>
      </c>
      <c r="J13" s="1">
        <v>71</v>
      </c>
      <c r="K13" s="1">
        <v>275</v>
      </c>
      <c r="L13" s="1">
        <v>315</v>
      </c>
      <c r="M13" s="1">
        <v>4.7</v>
      </c>
      <c r="N13" s="1">
        <v>2</v>
      </c>
      <c r="O13" s="1">
        <v>590</v>
      </c>
      <c r="P13" s="1">
        <v>38.200000000000003</v>
      </c>
      <c r="Q13" s="8">
        <v>0</v>
      </c>
      <c r="R13" s="8">
        <v>0</v>
      </c>
      <c r="S13" s="1">
        <v>0</v>
      </c>
      <c r="T13" s="8">
        <v>0</v>
      </c>
      <c r="U13" s="9">
        <f t="shared" si="0"/>
        <v>0</v>
      </c>
    </row>
    <row r="14" spans="1:21" x14ac:dyDescent="0.3">
      <c r="A14" s="1" t="s">
        <v>110</v>
      </c>
      <c r="B14" s="1" t="s">
        <v>96</v>
      </c>
      <c r="C14" s="1" t="s">
        <v>106</v>
      </c>
      <c r="D14" s="1" t="s">
        <v>107</v>
      </c>
      <c r="E14" s="7">
        <v>74268606</v>
      </c>
      <c r="F14" s="1" t="s">
        <v>10</v>
      </c>
      <c r="G14" s="1" t="s">
        <v>99</v>
      </c>
      <c r="H14" s="1" t="s">
        <v>108</v>
      </c>
      <c r="I14" s="9">
        <v>1016</v>
      </c>
      <c r="J14" s="1">
        <v>69</v>
      </c>
      <c r="K14" s="1">
        <v>315</v>
      </c>
      <c r="L14" s="1">
        <v>359</v>
      </c>
      <c r="M14" s="1">
        <v>4.5</v>
      </c>
      <c r="N14" s="1">
        <v>6</v>
      </c>
      <c r="O14" s="1">
        <v>1998</v>
      </c>
      <c r="P14" s="1">
        <v>123</v>
      </c>
      <c r="Q14" s="8">
        <v>0</v>
      </c>
      <c r="R14" s="8">
        <v>0</v>
      </c>
      <c r="S14" s="1">
        <v>0</v>
      </c>
      <c r="T14" s="8">
        <v>0</v>
      </c>
      <c r="U14" s="9">
        <f t="shared" si="0"/>
        <v>0</v>
      </c>
    </row>
    <row r="15" spans="1:21" x14ac:dyDescent="0.3">
      <c r="A15" s="1" t="s">
        <v>111</v>
      </c>
      <c r="B15" s="1" t="s">
        <v>96</v>
      </c>
      <c r="C15" s="1" t="s">
        <v>97</v>
      </c>
      <c r="D15" s="1" t="s">
        <v>98</v>
      </c>
      <c r="E15" s="7">
        <v>74210863</v>
      </c>
      <c r="F15" s="1" t="s">
        <v>10</v>
      </c>
      <c r="G15" s="1" t="s">
        <v>99</v>
      </c>
      <c r="H15" s="1" t="s">
        <v>100</v>
      </c>
      <c r="I15" s="1">
        <v>955</v>
      </c>
      <c r="J15" s="1">
        <v>67</v>
      </c>
      <c r="K15" s="1">
        <v>315</v>
      </c>
      <c r="L15" s="1">
        <v>315</v>
      </c>
      <c r="M15" s="1">
        <v>4.7</v>
      </c>
      <c r="N15" s="1">
        <v>1</v>
      </c>
      <c r="O15" s="1">
        <v>315</v>
      </c>
      <c r="P15" s="1">
        <v>19.100000000000001</v>
      </c>
      <c r="Q15" s="8">
        <v>0</v>
      </c>
      <c r="R15" s="8">
        <v>0</v>
      </c>
      <c r="S15" s="1">
        <v>0</v>
      </c>
      <c r="T15" s="8">
        <v>0</v>
      </c>
      <c r="U15" s="9">
        <f t="shared" si="0"/>
        <v>0</v>
      </c>
    </row>
    <row r="16" spans="1:21" x14ac:dyDescent="0.3">
      <c r="A16" s="1" t="s">
        <v>111</v>
      </c>
      <c r="B16" s="1" t="s">
        <v>96</v>
      </c>
      <c r="C16" s="1" t="s">
        <v>97</v>
      </c>
      <c r="D16" s="1" t="s">
        <v>98</v>
      </c>
      <c r="E16" s="7">
        <v>74210862</v>
      </c>
      <c r="F16" s="1" t="s">
        <v>10</v>
      </c>
      <c r="G16" s="1" t="s">
        <v>99</v>
      </c>
      <c r="H16" s="1" t="s">
        <v>104</v>
      </c>
      <c r="I16" s="1">
        <v>955</v>
      </c>
      <c r="J16" s="1">
        <v>67</v>
      </c>
      <c r="K16" s="1">
        <v>315</v>
      </c>
      <c r="L16" s="1">
        <v>315</v>
      </c>
      <c r="M16" s="1">
        <v>4.7</v>
      </c>
      <c r="N16" s="1">
        <v>1</v>
      </c>
      <c r="O16" s="1">
        <v>315</v>
      </c>
      <c r="P16" s="1">
        <v>18.3</v>
      </c>
      <c r="Q16" s="8">
        <v>0</v>
      </c>
      <c r="R16" s="8">
        <v>0</v>
      </c>
      <c r="S16" s="1">
        <v>0</v>
      </c>
      <c r="T16" s="8">
        <v>0</v>
      </c>
      <c r="U16" s="9">
        <f t="shared" si="0"/>
        <v>0</v>
      </c>
    </row>
    <row r="17" spans="1:21" x14ac:dyDescent="0.3">
      <c r="A17" s="1" t="s">
        <v>111</v>
      </c>
      <c r="B17" s="1" t="s">
        <v>96</v>
      </c>
      <c r="C17" s="1" t="s">
        <v>97</v>
      </c>
      <c r="D17" s="1" t="s">
        <v>98</v>
      </c>
      <c r="E17" s="7">
        <v>74210864</v>
      </c>
      <c r="F17" s="1" t="s">
        <v>10</v>
      </c>
      <c r="G17" s="1" t="s">
        <v>99</v>
      </c>
      <c r="H17" s="1" t="s">
        <v>105</v>
      </c>
      <c r="I17" s="1">
        <v>948</v>
      </c>
      <c r="J17" s="1">
        <v>71</v>
      </c>
      <c r="K17" s="1">
        <v>275</v>
      </c>
      <c r="L17" s="1">
        <v>315</v>
      </c>
      <c r="M17" s="1">
        <v>4.7</v>
      </c>
      <c r="N17" s="1">
        <v>1</v>
      </c>
      <c r="O17" s="1">
        <v>275</v>
      </c>
      <c r="P17" s="1">
        <v>19.100000000000001</v>
      </c>
      <c r="Q17" s="8">
        <v>0</v>
      </c>
      <c r="R17" s="8">
        <v>0</v>
      </c>
      <c r="S17" s="1">
        <v>0</v>
      </c>
      <c r="T17" s="8">
        <v>0</v>
      </c>
      <c r="U17" s="9">
        <f t="shared" si="0"/>
        <v>0</v>
      </c>
    </row>
    <row r="18" spans="1:21" x14ac:dyDescent="0.3">
      <c r="A18" s="1" t="s">
        <v>111</v>
      </c>
      <c r="B18" s="1" t="s">
        <v>96</v>
      </c>
      <c r="C18" s="1" t="s">
        <v>106</v>
      </c>
      <c r="D18" s="1" t="s">
        <v>107</v>
      </c>
      <c r="E18" s="7">
        <v>74268606</v>
      </c>
      <c r="F18" s="1" t="s">
        <v>10</v>
      </c>
      <c r="G18" s="1" t="s">
        <v>99</v>
      </c>
      <c r="H18" s="1" t="s">
        <v>108</v>
      </c>
      <c r="I18" s="9">
        <v>1016</v>
      </c>
      <c r="J18" s="1">
        <v>69</v>
      </c>
      <c r="K18" s="1">
        <v>315</v>
      </c>
      <c r="L18" s="1">
        <v>359</v>
      </c>
      <c r="M18" s="1">
        <v>4.5</v>
      </c>
      <c r="N18" s="1">
        <v>4</v>
      </c>
      <c r="O18" s="1">
        <v>1372</v>
      </c>
      <c r="P18" s="1">
        <v>82</v>
      </c>
      <c r="Q18" s="8">
        <v>0</v>
      </c>
      <c r="R18" s="8">
        <v>0</v>
      </c>
      <c r="S18" s="1">
        <v>0</v>
      </c>
      <c r="T18" s="8">
        <v>0</v>
      </c>
      <c r="U18" s="9">
        <f t="shared" si="0"/>
        <v>0</v>
      </c>
    </row>
    <row r="19" spans="1:21" x14ac:dyDescent="0.3">
      <c r="A19" s="1" t="s">
        <v>112</v>
      </c>
      <c r="B19" s="1" t="s">
        <v>96</v>
      </c>
      <c r="C19" s="1" t="s">
        <v>97</v>
      </c>
      <c r="D19" s="1" t="s">
        <v>98</v>
      </c>
      <c r="E19" s="7">
        <v>74210863</v>
      </c>
      <c r="F19" s="1" t="s">
        <v>10</v>
      </c>
      <c r="G19" s="1" t="s">
        <v>99</v>
      </c>
      <c r="H19" s="1" t="s">
        <v>100</v>
      </c>
      <c r="I19" s="8">
        <v>0</v>
      </c>
      <c r="J19" s="8">
        <v>0</v>
      </c>
      <c r="K19" s="8">
        <v>0</v>
      </c>
      <c r="L19" s="1">
        <v>315</v>
      </c>
      <c r="M19" s="1">
        <v>4.7</v>
      </c>
      <c r="N19" s="8">
        <v>0</v>
      </c>
      <c r="O19" s="8">
        <v>0</v>
      </c>
      <c r="P19" s="1">
        <v>0</v>
      </c>
      <c r="Q19" s="8">
        <v>0</v>
      </c>
      <c r="R19" s="8">
        <v>0</v>
      </c>
      <c r="S19" s="1">
        <v>0</v>
      </c>
      <c r="T19" s="8">
        <v>0</v>
      </c>
      <c r="U19" s="9">
        <f t="shared" si="0"/>
        <v>0</v>
      </c>
    </row>
    <row r="20" spans="1:21" x14ac:dyDescent="0.3">
      <c r="A20" s="1" t="s">
        <v>112</v>
      </c>
      <c r="B20" s="1" t="s">
        <v>96</v>
      </c>
      <c r="C20" s="1" t="s">
        <v>106</v>
      </c>
      <c r="D20" s="1" t="s">
        <v>107</v>
      </c>
      <c r="E20" s="7">
        <v>74268606</v>
      </c>
      <c r="F20" s="1" t="s">
        <v>10</v>
      </c>
      <c r="G20" s="1" t="s">
        <v>99</v>
      </c>
      <c r="H20" s="1" t="s">
        <v>108</v>
      </c>
      <c r="I20" s="9">
        <v>1026</v>
      </c>
      <c r="J20" s="1">
        <v>65</v>
      </c>
      <c r="K20" s="1">
        <v>359</v>
      </c>
      <c r="L20" s="1">
        <v>359</v>
      </c>
      <c r="M20" s="1">
        <v>4.5</v>
      </c>
      <c r="N20" s="1">
        <v>6</v>
      </c>
      <c r="O20" s="1">
        <v>2110</v>
      </c>
      <c r="P20" s="1">
        <v>123</v>
      </c>
      <c r="Q20" s="8">
        <v>0</v>
      </c>
      <c r="R20" s="8">
        <v>0</v>
      </c>
      <c r="S20" s="1">
        <v>0</v>
      </c>
      <c r="T20" s="8">
        <v>0</v>
      </c>
      <c r="U20" s="9">
        <f t="shared" si="0"/>
        <v>0</v>
      </c>
    </row>
    <row r="21" spans="1:21" x14ac:dyDescent="0.3">
      <c r="A21" s="1" t="s">
        <v>113</v>
      </c>
      <c r="B21" s="1" t="s">
        <v>114</v>
      </c>
      <c r="C21" s="1" t="s">
        <v>97</v>
      </c>
      <c r="D21" s="1" t="s">
        <v>98</v>
      </c>
      <c r="E21" s="7">
        <v>74210863</v>
      </c>
      <c r="F21" s="1" t="s">
        <v>10</v>
      </c>
      <c r="G21" s="1" t="s">
        <v>99</v>
      </c>
      <c r="H21" s="1" t="s">
        <v>100</v>
      </c>
      <c r="I21" s="8">
        <v>0</v>
      </c>
      <c r="J21" s="8">
        <v>0</v>
      </c>
      <c r="K21" s="8">
        <v>0</v>
      </c>
      <c r="L21" s="1">
        <v>315</v>
      </c>
      <c r="M21" s="1">
        <v>4.7</v>
      </c>
      <c r="N21" s="8">
        <v>0</v>
      </c>
      <c r="O21" s="8">
        <v>0</v>
      </c>
      <c r="P21" s="1">
        <v>0</v>
      </c>
      <c r="Q21" s="8">
        <v>0</v>
      </c>
      <c r="R21" s="8">
        <v>0</v>
      </c>
      <c r="S21" s="1">
        <v>0</v>
      </c>
      <c r="T21" s="8">
        <v>0</v>
      </c>
      <c r="U21" s="9">
        <f t="shared" si="0"/>
        <v>0</v>
      </c>
    </row>
    <row r="22" spans="1:21" x14ac:dyDescent="0.3">
      <c r="A22" s="1" t="s">
        <v>113</v>
      </c>
      <c r="B22" s="1" t="s">
        <v>114</v>
      </c>
      <c r="C22" s="1" t="s">
        <v>101</v>
      </c>
      <c r="D22" s="1" t="s">
        <v>102</v>
      </c>
      <c r="E22" s="7">
        <v>40557118</v>
      </c>
      <c r="F22" s="1" t="s">
        <v>24</v>
      </c>
      <c r="G22" s="1" t="s">
        <v>99</v>
      </c>
      <c r="H22" s="1" t="s">
        <v>103</v>
      </c>
      <c r="I22" s="9">
        <v>1233</v>
      </c>
      <c r="J22" s="1">
        <v>49</v>
      </c>
      <c r="K22" s="1">
        <v>629</v>
      </c>
      <c r="L22" s="1"/>
      <c r="M22" s="8">
        <v>0</v>
      </c>
      <c r="N22" s="1">
        <v>1</v>
      </c>
      <c r="O22" s="1">
        <v>629</v>
      </c>
      <c r="P22" s="1">
        <v>12</v>
      </c>
      <c r="Q22" s="8">
        <v>0</v>
      </c>
      <c r="R22" s="8">
        <v>0</v>
      </c>
      <c r="S22" s="1">
        <v>0</v>
      </c>
      <c r="T22" s="8">
        <v>0</v>
      </c>
      <c r="U22" s="9">
        <f t="shared" si="0"/>
        <v>0</v>
      </c>
    </row>
    <row r="23" spans="1:21" x14ac:dyDescent="0.3">
      <c r="A23" s="1" t="s">
        <v>113</v>
      </c>
      <c r="B23" s="1" t="s">
        <v>114</v>
      </c>
      <c r="C23" s="1" t="s">
        <v>97</v>
      </c>
      <c r="D23" s="1" t="s">
        <v>98</v>
      </c>
      <c r="E23" s="7">
        <v>74210862</v>
      </c>
      <c r="F23" s="1" t="s">
        <v>10</v>
      </c>
      <c r="G23" s="1" t="s">
        <v>99</v>
      </c>
      <c r="H23" s="1" t="s">
        <v>104</v>
      </c>
      <c r="I23" s="8">
        <v>0</v>
      </c>
      <c r="J23" s="8">
        <v>0</v>
      </c>
      <c r="K23" s="8">
        <v>0</v>
      </c>
      <c r="L23" s="1">
        <v>315</v>
      </c>
      <c r="M23" s="1">
        <v>4.7</v>
      </c>
      <c r="N23" s="8">
        <v>0</v>
      </c>
      <c r="O23" s="8">
        <v>0</v>
      </c>
      <c r="P23" s="1">
        <v>0</v>
      </c>
      <c r="Q23" s="8">
        <v>0</v>
      </c>
      <c r="R23" s="8">
        <v>0</v>
      </c>
      <c r="S23" s="1">
        <v>0</v>
      </c>
      <c r="T23" s="8">
        <v>0</v>
      </c>
      <c r="U23" s="9">
        <f t="shared" si="0"/>
        <v>0</v>
      </c>
    </row>
    <row r="24" spans="1:21" x14ac:dyDescent="0.3">
      <c r="A24" s="1" t="s">
        <v>113</v>
      </c>
      <c r="B24" s="1" t="s">
        <v>114</v>
      </c>
      <c r="C24" s="1" t="s">
        <v>106</v>
      </c>
      <c r="D24" s="1" t="s">
        <v>107</v>
      </c>
      <c r="E24" s="7">
        <v>74268606</v>
      </c>
      <c r="F24" s="1" t="s">
        <v>10</v>
      </c>
      <c r="G24" s="1" t="s">
        <v>99</v>
      </c>
      <c r="H24" s="1" t="s">
        <v>108</v>
      </c>
      <c r="I24" s="9">
        <v>1026</v>
      </c>
      <c r="J24" s="1">
        <v>65</v>
      </c>
      <c r="K24" s="1">
        <v>359</v>
      </c>
      <c r="L24" s="1">
        <v>359</v>
      </c>
      <c r="M24" s="1">
        <v>4.5</v>
      </c>
      <c r="N24" s="1">
        <v>8</v>
      </c>
      <c r="O24" s="1">
        <v>2873</v>
      </c>
      <c r="P24" s="1">
        <v>164</v>
      </c>
      <c r="Q24" s="8">
        <v>0</v>
      </c>
      <c r="R24" s="8">
        <v>0</v>
      </c>
      <c r="S24" s="1">
        <v>0</v>
      </c>
      <c r="T24" s="8">
        <v>0</v>
      </c>
      <c r="U24" s="9">
        <f t="shared" si="0"/>
        <v>0</v>
      </c>
    </row>
    <row r="25" spans="1:21" x14ac:dyDescent="0.3">
      <c r="A25" s="1" t="s">
        <v>115</v>
      </c>
      <c r="B25" s="1" t="s">
        <v>114</v>
      </c>
      <c r="C25" s="1" t="s">
        <v>97</v>
      </c>
      <c r="D25" s="1" t="s">
        <v>98</v>
      </c>
      <c r="E25" s="7">
        <v>74210863</v>
      </c>
      <c r="F25" s="1" t="s">
        <v>10</v>
      </c>
      <c r="G25" s="1" t="s">
        <v>99</v>
      </c>
      <c r="H25" s="1" t="s">
        <v>100</v>
      </c>
      <c r="I25" s="1">
        <v>948</v>
      </c>
      <c r="J25" s="1">
        <v>71</v>
      </c>
      <c r="K25" s="1">
        <v>275</v>
      </c>
      <c r="L25" s="1">
        <v>315</v>
      </c>
      <c r="M25" s="1">
        <v>4.7</v>
      </c>
      <c r="N25" s="1">
        <v>5</v>
      </c>
      <c r="O25" s="1">
        <v>1519</v>
      </c>
      <c r="P25" s="1">
        <v>95.5</v>
      </c>
      <c r="Q25" s="8">
        <v>0</v>
      </c>
      <c r="R25" s="8">
        <v>0</v>
      </c>
      <c r="S25" s="1">
        <v>0</v>
      </c>
      <c r="T25" s="8">
        <v>0</v>
      </c>
      <c r="U25" s="9">
        <f t="shared" si="0"/>
        <v>0</v>
      </c>
    </row>
    <row r="26" spans="1:21" x14ac:dyDescent="0.3">
      <c r="A26" s="1" t="s">
        <v>115</v>
      </c>
      <c r="B26" s="1" t="s">
        <v>114</v>
      </c>
      <c r="C26" s="1" t="s">
        <v>97</v>
      </c>
      <c r="D26" s="1" t="s">
        <v>98</v>
      </c>
      <c r="E26" s="7">
        <v>74210862</v>
      </c>
      <c r="F26" s="1" t="s">
        <v>10</v>
      </c>
      <c r="G26" s="1" t="s">
        <v>99</v>
      </c>
      <c r="H26" s="1" t="s">
        <v>104</v>
      </c>
      <c r="I26" s="1">
        <v>955</v>
      </c>
      <c r="J26" s="1">
        <v>67</v>
      </c>
      <c r="K26" s="1">
        <v>315</v>
      </c>
      <c r="L26" s="1">
        <v>315</v>
      </c>
      <c r="M26" s="1">
        <v>4.7</v>
      </c>
      <c r="N26" s="1">
        <v>1</v>
      </c>
      <c r="O26" s="1">
        <v>315</v>
      </c>
      <c r="P26" s="1">
        <v>18.3</v>
      </c>
      <c r="Q26" s="8">
        <v>0</v>
      </c>
      <c r="R26" s="8">
        <v>0</v>
      </c>
      <c r="S26" s="1">
        <v>0</v>
      </c>
      <c r="T26" s="8">
        <v>0</v>
      </c>
      <c r="U26" s="9">
        <f t="shared" si="0"/>
        <v>0</v>
      </c>
    </row>
    <row r="27" spans="1:21" x14ac:dyDescent="0.3">
      <c r="A27" s="1" t="s">
        <v>115</v>
      </c>
      <c r="B27" s="1" t="s">
        <v>114</v>
      </c>
      <c r="C27" s="1" t="s">
        <v>97</v>
      </c>
      <c r="D27" s="1" t="s">
        <v>98</v>
      </c>
      <c r="E27" s="7">
        <v>74210864</v>
      </c>
      <c r="F27" s="1" t="s">
        <v>10</v>
      </c>
      <c r="G27" s="1" t="s">
        <v>99</v>
      </c>
      <c r="H27" s="1" t="s">
        <v>105</v>
      </c>
      <c r="I27" s="8">
        <v>0</v>
      </c>
      <c r="J27" s="8">
        <v>0</v>
      </c>
      <c r="K27" s="8">
        <v>0</v>
      </c>
      <c r="L27" s="1">
        <v>315</v>
      </c>
      <c r="M27" s="1">
        <v>4.7</v>
      </c>
      <c r="N27" s="8">
        <v>0</v>
      </c>
      <c r="O27" s="8">
        <v>0</v>
      </c>
      <c r="P27" s="1">
        <v>0</v>
      </c>
      <c r="Q27" s="8">
        <v>0</v>
      </c>
      <c r="R27" s="8">
        <v>0</v>
      </c>
      <c r="S27" s="1">
        <v>0</v>
      </c>
      <c r="T27" s="8">
        <v>0</v>
      </c>
      <c r="U27" s="9">
        <f t="shared" si="0"/>
        <v>0</v>
      </c>
    </row>
    <row r="28" spans="1:21" x14ac:dyDescent="0.3">
      <c r="A28" s="1" t="s">
        <v>115</v>
      </c>
      <c r="B28" s="1" t="s">
        <v>114</v>
      </c>
      <c r="C28" s="1" t="s">
        <v>106</v>
      </c>
      <c r="D28" s="1" t="s">
        <v>107</v>
      </c>
      <c r="E28" s="7">
        <v>74268606</v>
      </c>
      <c r="F28" s="1" t="s">
        <v>10</v>
      </c>
      <c r="G28" s="1" t="s">
        <v>99</v>
      </c>
      <c r="H28" s="1" t="s">
        <v>108</v>
      </c>
      <c r="I28" s="9">
        <v>1027</v>
      </c>
      <c r="J28" s="1">
        <v>67</v>
      </c>
      <c r="K28" s="1">
        <v>339</v>
      </c>
      <c r="L28" s="1">
        <v>359</v>
      </c>
      <c r="M28" s="1">
        <v>4.5</v>
      </c>
      <c r="N28" s="1">
        <v>5</v>
      </c>
      <c r="O28" s="1">
        <v>1775</v>
      </c>
      <c r="P28" s="1">
        <v>102.5</v>
      </c>
      <c r="Q28" s="8">
        <v>0</v>
      </c>
      <c r="R28" s="8">
        <v>0</v>
      </c>
      <c r="S28" s="1">
        <v>0</v>
      </c>
      <c r="T28" s="8">
        <v>0</v>
      </c>
      <c r="U28" s="9">
        <f t="shared" si="0"/>
        <v>0</v>
      </c>
    </row>
    <row r="29" spans="1:21" x14ac:dyDescent="0.3">
      <c r="A29" s="1" t="s">
        <v>116</v>
      </c>
      <c r="B29" s="1" t="s">
        <v>114</v>
      </c>
      <c r="C29" s="1" t="s">
        <v>97</v>
      </c>
      <c r="D29" s="1" t="s">
        <v>98</v>
      </c>
      <c r="E29" s="7">
        <v>74210863</v>
      </c>
      <c r="F29" s="1" t="s">
        <v>10</v>
      </c>
      <c r="G29" s="1" t="s">
        <v>99</v>
      </c>
      <c r="H29" s="1" t="s">
        <v>100</v>
      </c>
      <c r="I29" s="1">
        <v>955</v>
      </c>
      <c r="J29" s="1">
        <v>67</v>
      </c>
      <c r="K29" s="1">
        <v>315</v>
      </c>
      <c r="L29" s="10">
        <v>238</v>
      </c>
      <c r="M29" s="1">
        <v>4.7</v>
      </c>
      <c r="N29" s="1">
        <v>1</v>
      </c>
      <c r="O29" s="1">
        <v>315</v>
      </c>
      <c r="P29" s="1">
        <v>8.6</v>
      </c>
      <c r="Q29" s="8">
        <v>0</v>
      </c>
      <c r="R29" s="8">
        <v>0</v>
      </c>
      <c r="S29" s="1">
        <v>0</v>
      </c>
      <c r="T29" s="8">
        <v>0</v>
      </c>
      <c r="U29" s="9">
        <f t="shared" si="0"/>
        <v>0</v>
      </c>
    </row>
    <row r="30" spans="1:21" x14ac:dyDescent="0.3">
      <c r="A30" s="1" t="s">
        <v>116</v>
      </c>
      <c r="B30" s="1" t="s">
        <v>114</v>
      </c>
      <c r="C30" s="1" t="s">
        <v>101</v>
      </c>
      <c r="D30" s="1" t="s">
        <v>102</v>
      </c>
      <c r="E30" s="7">
        <v>40557118</v>
      </c>
      <c r="F30" s="1" t="s">
        <v>24</v>
      </c>
      <c r="G30" s="1" t="s">
        <v>99</v>
      </c>
      <c r="H30" s="1" t="s">
        <v>103</v>
      </c>
      <c r="I30" s="9">
        <v>1229</v>
      </c>
      <c r="J30" s="1">
        <v>48</v>
      </c>
      <c r="K30" s="1">
        <v>639</v>
      </c>
      <c r="L30" s="10"/>
      <c r="M30" s="8">
        <v>0</v>
      </c>
      <c r="N30" s="1">
        <v>1</v>
      </c>
      <c r="O30" s="1">
        <v>639</v>
      </c>
      <c r="P30" s="1">
        <v>9</v>
      </c>
      <c r="Q30" s="8">
        <v>0</v>
      </c>
      <c r="R30" s="8">
        <v>0</v>
      </c>
      <c r="S30" s="1">
        <v>0</v>
      </c>
      <c r="T30" s="8">
        <v>0</v>
      </c>
      <c r="U30" s="9">
        <f t="shared" si="0"/>
        <v>0</v>
      </c>
    </row>
    <row r="31" spans="1:21" x14ac:dyDescent="0.3">
      <c r="A31" s="1" t="s">
        <v>116</v>
      </c>
      <c r="B31" s="1" t="s">
        <v>114</v>
      </c>
      <c r="C31" s="1" t="s">
        <v>97</v>
      </c>
      <c r="D31" s="1" t="s">
        <v>98</v>
      </c>
      <c r="E31" s="7">
        <v>74210862</v>
      </c>
      <c r="F31" s="1" t="s">
        <v>10</v>
      </c>
      <c r="G31" s="1" t="s">
        <v>99</v>
      </c>
      <c r="H31" s="1" t="s">
        <v>104</v>
      </c>
      <c r="I31" s="1">
        <v>955</v>
      </c>
      <c r="J31" s="1">
        <v>67</v>
      </c>
      <c r="K31" s="1">
        <v>315</v>
      </c>
      <c r="L31" s="10">
        <v>238</v>
      </c>
      <c r="M31" s="1">
        <v>4.7</v>
      </c>
      <c r="N31" s="1">
        <v>2</v>
      </c>
      <c r="O31" s="1">
        <v>630</v>
      </c>
      <c r="P31" s="1">
        <v>24.4</v>
      </c>
      <c r="Q31" s="8">
        <v>0</v>
      </c>
      <c r="R31" s="8">
        <v>0</v>
      </c>
      <c r="S31" s="1">
        <v>0</v>
      </c>
      <c r="T31" s="8">
        <v>0</v>
      </c>
      <c r="U31" s="9">
        <f t="shared" si="0"/>
        <v>0</v>
      </c>
    </row>
    <row r="32" spans="1:21" x14ac:dyDescent="0.3">
      <c r="A32" s="1" t="s">
        <v>116</v>
      </c>
      <c r="B32" s="1" t="s">
        <v>114</v>
      </c>
      <c r="C32" s="1" t="s">
        <v>97</v>
      </c>
      <c r="D32" s="1" t="s">
        <v>98</v>
      </c>
      <c r="E32" s="7">
        <v>74210864</v>
      </c>
      <c r="F32" s="1" t="s">
        <v>10</v>
      </c>
      <c r="G32" s="1" t="s">
        <v>99</v>
      </c>
      <c r="H32" s="1" t="s">
        <v>105</v>
      </c>
      <c r="I32" s="1">
        <v>955</v>
      </c>
      <c r="J32" s="1">
        <v>67</v>
      </c>
      <c r="K32" s="1">
        <v>315</v>
      </c>
      <c r="L32" s="10">
        <v>238</v>
      </c>
      <c r="M32" s="1">
        <v>4.7</v>
      </c>
      <c r="N32" s="1">
        <v>2</v>
      </c>
      <c r="O32" s="1">
        <v>630</v>
      </c>
      <c r="P32" s="1">
        <v>17.2</v>
      </c>
      <c r="Q32" s="8">
        <v>0</v>
      </c>
      <c r="R32" s="8">
        <v>0</v>
      </c>
      <c r="S32" s="1">
        <v>0</v>
      </c>
      <c r="T32" s="8">
        <v>0</v>
      </c>
      <c r="U32" s="9">
        <f t="shared" si="0"/>
        <v>0</v>
      </c>
    </row>
    <row r="33" spans="1:21" x14ac:dyDescent="0.3">
      <c r="A33" s="1" t="s">
        <v>116</v>
      </c>
      <c r="B33" s="1" t="s">
        <v>114</v>
      </c>
      <c r="C33" s="1" t="s">
        <v>106</v>
      </c>
      <c r="D33" s="1" t="s">
        <v>107</v>
      </c>
      <c r="E33" s="7">
        <v>74268606</v>
      </c>
      <c r="F33" s="1" t="s">
        <v>10</v>
      </c>
      <c r="G33" s="1" t="s">
        <v>99</v>
      </c>
      <c r="H33" s="1" t="s">
        <v>108</v>
      </c>
      <c r="I33" s="9">
        <v>1016</v>
      </c>
      <c r="J33" s="1">
        <v>69</v>
      </c>
      <c r="K33" s="1">
        <v>315</v>
      </c>
      <c r="L33" s="10">
        <v>277</v>
      </c>
      <c r="M33" s="1">
        <v>4.5</v>
      </c>
      <c r="N33" s="1">
        <v>8</v>
      </c>
      <c r="O33" s="1">
        <v>2785</v>
      </c>
      <c r="P33" s="1">
        <v>56</v>
      </c>
      <c r="Q33" s="8">
        <v>0</v>
      </c>
      <c r="R33" s="8">
        <v>0</v>
      </c>
      <c r="S33" s="1">
        <v>0</v>
      </c>
      <c r="T33" s="8">
        <v>0</v>
      </c>
      <c r="U33" s="9">
        <f t="shared" si="0"/>
        <v>0</v>
      </c>
    </row>
    <row r="34" spans="1:21" x14ac:dyDescent="0.3">
      <c r="A34" s="1" t="s">
        <v>117</v>
      </c>
      <c r="B34" s="1" t="s">
        <v>114</v>
      </c>
      <c r="C34" s="1" t="s">
        <v>97</v>
      </c>
      <c r="D34" s="1" t="s">
        <v>98</v>
      </c>
      <c r="E34" s="7">
        <v>74210863</v>
      </c>
      <c r="F34" s="1" t="s">
        <v>10</v>
      </c>
      <c r="G34" s="1" t="s">
        <v>99</v>
      </c>
      <c r="H34" s="1" t="s">
        <v>100</v>
      </c>
      <c r="I34" s="8">
        <v>0</v>
      </c>
      <c r="J34" s="8">
        <v>0</v>
      </c>
      <c r="K34" s="8">
        <v>0</v>
      </c>
      <c r="L34" s="10">
        <v>238</v>
      </c>
      <c r="M34" s="1">
        <v>4.7</v>
      </c>
      <c r="N34" s="8">
        <v>0</v>
      </c>
      <c r="O34" s="8">
        <v>0</v>
      </c>
      <c r="P34" s="1">
        <v>0</v>
      </c>
      <c r="Q34" s="8">
        <v>0</v>
      </c>
      <c r="R34" s="8">
        <v>0</v>
      </c>
      <c r="S34" s="1">
        <v>0</v>
      </c>
      <c r="T34" s="1">
        <v>9</v>
      </c>
      <c r="U34" s="9">
        <f t="shared" ref="U34:U62" si="1">T34*L34</f>
        <v>2142</v>
      </c>
    </row>
    <row r="35" spans="1:21" x14ac:dyDescent="0.3">
      <c r="A35" s="1" t="s">
        <v>117</v>
      </c>
      <c r="B35" s="1" t="s">
        <v>114</v>
      </c>
      <c r="C35" s="1" t="s">
        <v>101</v>
      </c>
      <c r="D35" s="1" t="s">
        <v>102</v>
      </c>
      <c r="E35" s="7">
        <v>40557118</v>
      </c>
      <c r="F35" s="1" t="s">
        <v>24</v>
      </c>
      <c r="G35" s="1" t="s">
        <v>99</v>
      </c>
      <c r="H35" s="1" t="s">
        <v>103</v>
      </c>
      <c r="I35" s="8">
        <v>0</v>
      </c>
      <c r="J35" s="8">
        <v>0</v>
      </c>
      <c r="K35" s="8">
        <v>0</v>
      </c>
      <c r="L35" s="10"/>
      <c r="M35" s="8">
        <v>0</v>
      </c>
      <c r="N35" s="8">
        <v>0</v>
      </c>
      <c r="O35" s="8">
        <v>0</v>
      </c>
      <c r="P35" s="1">
        <v>0</v>
      </c>
      <c r="Q35" s="8">
        <v>0</v>
      </c>
      <c r="R35" s="8">
        <v>0</v>
      </c>
      <c r="S35" s="1">
        <v>0</v>
      </c>
      <c r="T35" s="1">
        <v>1</v>
      </c>
      <c r="U35" s="9">
        <f t="shared" si="1"/>
        <v>0</v>
      </c>
    </row>
    <row r="36" spans="1:21" x14ac:dyDescent="0.3">
      <c r="A36" s="1" t="s">
        <v>117</v>
      </c>
      <c r="B36" s="1" t="s">
        <v>114</v>
      </c>
      <c r="C36" s="1" t="s">
        <v>97</v>
      </c>
      <c r="D36" s="1" t="s">
        <v>98</v>
      </c>
      <c r="E36" s="7">
        <v>74210862</v>
      </c>
      <c r="F36" s="1" t="s">
        <v>10</v>
      </c>
      <c r="G36" s="1" t="s">
        <v>99</v>
      </c>
      <c r="H36" s="1" t="s">
        <v>104</v>
      </c>
      <c r="I36" s="1">
        <v>955</v>
      </c>
      <c r="J36" s="1">
        <v>67</v>
      </c>
      <c r="K36" s="1">
        <v>315</v>
      </c>
      <c r="L36" s="10">
        <v>238</v>
      </c>
      <c r="M36" s="1">
        <v>4.7</v>
      </c>
      <c r="N36" s="1">
        <v>2</v>
      </c>
      <c r="O36" s="1">
        <v>630</v>
      </c>
      <c r="P36" s="1">
        <v>24.4</v>
      </c>
      <c r="Q36" s="8">
        <v>0</v>
      </c>
      <c r="R36" s="8">
        <v>0</v>
      </c>
      <c r="S36" s="1">
        <v>0</v>
      </c>
      <c r="T36" s="1">
        <v>10</v>
      </c>
      <c r="U36" s="9">
        <f t="shared" si="1"/>
        <v>2380</v>
      </c>
    </row>
    <row r="37" spans="1:21" x14ac:dyDescent="0.3">
      <c r="A37" s="1" t="s">
        <v>117</v>
      </c>
      <c r="B37" s="1" t="s">
        <v>114</v>
      </c>
      <c r="C37" s="1" t="s">
        <v>97</v>
      </c>
      <c r="D37" s="1" t="s">
        <v>98</v>
      </c>
      <c r="E37" s="7">
        <v>74210864</v>
      </c>
      <c r="F37" s="1" t="s">
        <v>10</v>
      </c>
      <c r="G37" s="1" t="s">
        <v>99</v>
      </c>
      <c r="H37" s="1" t="s">
        <v>105</v>
      </c>
      <c r="I37" s="8">
        <v>0</v>
      </c>
      <c r="J37" s="8">
        <v>0</v>
      </c>
      <c r="K37" s="8">
        <v>0</v>
      </c>
      <c r="L37" s="10">
        <v>238</v>
      </c>
      <c r="M37" s="1">
        <v>4.7</v>
      </c>
      <c r="N37" s="8">
        <v>0</v>
      </c>
      <c r="O37" s="8">
        <v>0</v>
      </c>
      <c r="P37" s="1">
        <v>0</v>
      </c>
      <c r="Q37" s="8">
        <v>0</v>
      </c>
      <c r="R37" s="8">
        <v>0</v>
      </c>
      <c r="S37" s="1">
        <v>0</v>
      </c>
      <c r="T37" s="1">
        <v>5</v>
      </c>
      <c r="U37" s="9">
        <f t="shared" si="1"/>
        <v>1190</v>
      </c>
    </row>
    <row r="38" spans="1:21" x14ac:dyDescent="0.3">
      <c r="A38" s="1" t="s">
        <v>117</v>
      </c>
      <c r="B38" s="1" t="s">
        <v>114</v>
      </c>
      <c r="C38" s="1" t="s">
        <v>106</v>
      </c>
      <c r="D38" s="1" t="s">
        <v>107</v>
      </c>
      <c r="E38" s="7">
        <v>74268606</v>
      </c>
      <c r="F38" s="1" t="s">
        <v>10</v>
      </c>
      <c r="G38" s="1" t="s">
        <v>99</v>
      </c>
      <c r="H38" s="1" t="s">
        <v>108</v>
      </c>
      <c r="I38" s="9">
        <v>1026</v>
      </c>
      <c r="J38" s="1">
        <v>65</v>
      </c>
      <c r="K38" s="1">
        <v>359</v>
      </c>
      <c r="L38" s="10">
        <v>277</v>
      </c>
      <c r="M38" s="1">
        <v>4.5</v>
      </c>
      <c r="N38" s="1">
        <v>4</v>
      </c>
      <c r="O38" s="1">
        <v>1436</v>
      </c>
      <c r="P38" s="1">
        <v>28</v>
      </c>
      <c r="Q38" s="8">
        <v>0</v>
      </c>
      <c r="R38" s="8">
        <v>0</v>
      </c>
      <c r="S38" s="1">
        <v>0</v>
      </c>
      <c r="T38" s="1">
        <v>22</v>
      </c>
      <c r="U38" s="9">
        <f t="shared" si="1"/>
        <v>6094</v>
      </c>
    </row>
    <row r="39" spans="1:21" x14ac:dyDescent="0.3">
      <c r="A39" s="1" t="s">
        <v>118</v>
      </c>
      <c r="B39" s="1" t="s">
        <v>114</v>
      </c>
      <c r="C39" s="1" t="s">
        <v>97</v>
      </c>
      <c r="D39" s="1" t="s">
        <v>98</v>
      </c>
      <c r="E39" s="7">
        <v>74210863</v>
      </c>
      <c r="F39" s="1" t="s">
        <v>10</v>
      </c>
      <c r="G39" s="1" t="s">
        <v>99</v>
      </c>
      <c r="H39" s="1" t="s">
        <v>100</v>
      </c>
      <c r="I39" s="1">
        <v>955</v>
      </c>
      <c r="J39" s="1">
        <v>75</v>
      </c>
      <c r="K39" s="1">
        <v>239</v>
      </c>
      <c r="L39" s="10">
        <v>238</v>
      </c>
      <c r="M39" s="1">
        <v>4.7</v>
      </c>
      <c r="N39" s="1">
        <v>5</v>
      </c>
      <c r="O39" s="1">
        <v>1330</v>
      </c>
      <c r="P39" s="1">
        <v>43</v>
      </c>
      <c r="Q39" s="8">
        <v>0</v>
      </c>
      <c r="R39" s="8">
        <v>0</v>
      </c>
      <c r="S39" s="1">
        <v>0</v>
      </c>
      <c r="T39" s="1">
        <v>6</v>
      </c>
      <c r="U39" s="9">
        <f t="shared" si="1"/>
        <v>1428</v>
      </c>
    </row>
    <row r="40" spans="1:21" x14ac:dyDescent="0.3">
      <c r="A40" s="1" t="s">
        <v>118</v>
      </c>
      <c r="B40" s="1" t="s">
        <v>114</v>
      </c>
      <c r="C40" s="1" t="s">
        <v>97</v>
      </c>
      <c r="D40" s="1" t="s">
        <v>98</v>
      </c>
      <c r="E40" s="7">
        <v>74210862</v>
      </c>
      <c r="F40" s="1" t="s">
        <v>10</v>
      </c>
      <c r="G40" s="1" t="s">
        <v>99</v>
      </c>
      <c r="H40" s="1" t="s">
        <v>104</v>
      </c>
      <c r="I40" s="1">
        <v>955</v>
      </c>
      <c r="J40" s="1">
        <v>75</v>
      </c>
      <c r="K40" s="1">
        <v>239</v>
      </c>
      <c r="L40" s="10">
        <v>238</v>
      </c>
      <c r="M40" s="1">
        <v>4.7</v>
      </c>
      <c r="N40" s="1">
        <v>2</v>
      </c>
      <c r="O40" s="1">
        <v>478</v>
      </c>
      <c r="P40" s="1">
        <v>24.4</v>
      </c>
      <c r="Q40" s="8">
        <v>0</v>
      </c>
      <c r="R40" s="8">
        <v>0</v>
      </c>
      <c r="S40" s="1">
        <v>0</v>
      </c>
      <c r="T40" s="1">
        <v>8</v>
      </c>
      <c r="U40" s="9">
        <f t="shared" si="1"/>
        <v>1904</v>
      </c>
    </row>
    <row r="41" spans="1:21" x14ac:dyDescent="0.3">
      <c r="A41" s="1" t="s">
        <v>118</v>
      </c>
      <c r="B41" s="1" t="s">
        <v>114</v>
      </c>
      <c r="C41" s="1" t="s">
        <v>97</v>
      </c>
      <c r="D41" s="1" t="s">
        <v>98</v>
      </c>
      <c r="E41" s="7">
        <v>74210864</v>
      </c>
      <c r="F41" s="1" t="s">
        <v>10</v>
      </c>
      <c r="G41" s="1" t="s">
        <v>99</v>
      </c>
      <c r="H41" s="1" t="s">
        <v>105</v>
      </c>
      <c r="I41" s="1">
        <v>955</v>
      </c>
      <c r="J41" s="1">
        <v>67</v>
      </c>
      <c r="K41" s="1">
        <v>315</v>
      </c>
      <c r="L41" s="10">
        <v>238</v>
      </c>
      <c r="M41" s="1">
        <v>4.7</v>
      </c>
      <c r="N41" s="1">
        <v>1</v>
      </c>
      <c r="O41" s="1">
        <v>315</v>
      </c>
      <c r="P41" s="1">
        <v>8.6</v>
      </c>
      <c r="Q41" s="8">
        <v>0</v>
      </c>
      <c r="R41" s="8">
        <v>0</v>
      </c>
      <c r="S41" s="1">
        <v>0</v>
      </c>
      <c r="T41" s="1">
        <v>4</v>
      </c>
      <c r="U41" s="9">
        <f t="shared" si="1"/>
        <v>952</v>
      </c>
    </row>
    <row r="42" spans="1:21" x14ac:dyDescent="0.3">
      <c r="A42" s="1" t="s">
        <v>118</v>
      </c>
      <c r="B42" s="1" t="s">
        <v>114</v>
      </c>
      <c r="C42" s="1" t="s">
        <v>106</v>
      </c>
      <c r="D42" s="1" t="s">
        <v>107</v>
      </c>
      <c r="E42" s="7">
        <v>74268606</v>
      </c>
      <c r="F42" s="1" t="s">
        <v>10</v>
      </c>
      <c r="G42" s="1" t="s">
        <v>99</v>
      </c>
      <c r="H42" s="1" t="s">
        <v>108</v>
      </c>
      <c r="I42" s="9">
        <v>1026</v>
      </c>
      <c r="J42" s="1">
        <v>65</v>
      </c>
      <c r="K42" s="1">
        <v>359</v>
      </c>
      <c r="L42" s="10">
        <v>277</v>
      </c>
      <c r="M42" s="1">
        <v>4.5</v>
      </c>
      <c r="N42" s="1">
        <v>2</v>
      </c>
      <c r="O42" s="1">
        <v>636</v>
      </c>
      <c r="P42" s="1">
        <v>14</v>
      </c>
      <c r="Q42" s="8">
        <v>0</v>
      </c>
      <c r="R42" s="8">
        <v>0</v>
      </c>
      <c r="S42" s="1">
        <v>0</v>
      </c>
      <c r="T42" s="1">
        <v>6</v>
      </c>
      <c r="U42" s="9">
        <f t="shared" si="1"/>
        <v>1662</v>
      </c>
    </row>
    <row r="43" spans="1:21" x14ac:dyDescent="0.3">
      <c r="A43" s="1" t="s">
        <v>119</v>
      </c>
      <c r="B43" s="1" t="s">
        <v>114</v>
      </c>
      <c r="C43" s="1" t="s">
        <v>97</v>
      </c>
      <c r="D43" s="1" t="s">
        <v>98</v>
      </c>
      <c r="E43" s="7">
        <v>74210863</v>
      </c>
      <c r="F43" s="1" t="s">
        <v>10</v>
      </c>
      <c r="G43" s="1" t="s">
        <v>99</v>
      </c>
      <c r="H43" s="1" t="s">
        <v>100</v>
      </c>
      <c r="I43" s="1">
        <v>955</v>
      </c>
      <c r="J43" s="1">
        <v>75</v>
      </c>
      <c r="K43" s="1">
        <v>239</v>
      </c>
      <c r="L43" s="10">
        <v>238</v>
      </c>
      <c r="M43" s="1">
        <v>4.7</v>
      </c>
      <c r="N43" s="1">
        <v>4</v>
      </c>
      <c r="O43" s="1">
        <v>1108</v>
      </c>
      <c r="P43" s="1">
        <v>34.4</v>
      </c>
      <c r="Q43" s="8">
        <v>0</v>
      </c>
      <c r="R43" s="8">
        <v>0</v>
      </c>
      <c r="S43" s="1">
        <v>0</v>
      </c>
      <c r="T43" s="8">
        <v>0</v>
      </c>
      <c r="U43" s="9">
        <f t="shared" si="1"/>
        <v>0</v>
      </c>
    </row>
    <row r="44" spans="1:21" x14ac:dyDescent="0.3">
      <c r="A44" s="1" t="s">
        <v>119</v>
      </c>
      <c r="B44" s="1" t="s">
        <v>114</v>
      </c>
      <c r="C44" s="1" t="s">
        <v>101</v>
      </c>
      <c r="D44" s="1" t="s">
        <v>102</v>
      </c>
      <c r="E44" s="7">
        <v>40557118</v>
      </c>
      <c r="F44" s="1" t="s">
        <v>24</v>
      </c>
      <c r="G44" s="1" t="s">
        <v>99</v>
      </c>
      <c r="H44" s="1" t="s">
        <v>103</v>
      </c>
      <c r="I44" s="9">
        <v>1229</v>
      </c>
      <c r="J44" s="1">
        <v>55</v>
      </c>
      <c r="K44" s="1">
        <v>553</v>
      </c>
      <c r="L44" s="10"/>
      <c r="M44" s="8">
        <v>0</v>
      </c>
      <c r="N44" s="1">
        <v>1</v>
      </c>
      <c r="O44" s="1">
        <v>553</v>
      </c>
      <c r="P44" s="1">
        <v>9</v>
      </c>
      <c r="Q44" s="8">
        <v>0</v>
      </c>
      <c r="R44" s="8">
        <v>0</v>
      </c>
      <c r="S44" s="1">
        <v>0</v>
      </c>
      <c r="T44" s="8">
        <v>0</v>
      </c>
      <c r="U44" s="9">
        <f t="shared" si="1"/>
        <v>0</v>
      </c>
    </row>
    <row r="45" spans="1:21" x14ac:dyDescent="0.3">
      <c r="A45" s="1" t="s">
        <v>119</v>
      </c>
      <c r="B45" s="1" t="s">
        <v>114</v>
      </c>
      <c r="C45" s="1" t="s">
        <v>97</v>
      </c>
      <c r="D45" s="1" t="s">
        <v>98</v>
      </c>
      <c r="E45" s="7">
        <v>74210862</v>
      </c>
      <c r="F45" s="1" t="s">
        <v>10</v>
      </c>
      <c r="G45" s="1" t="s">
        <v>99</v>
      </c>
      <c r="H45" s="1" t="s">
        <v>104</v>
      </c>
      <c r="I45" s="1">
        <v>955</v>
      </c>
      <c r="J45" s="1">
        <v>75</v>
      </c>
      <c r="K45" s="1">
        <v>239</v>
      </c>
      <c r="L45" s="10">
        <v>238</v>
      </c>
      <c r="M45" s="1">
        <v>4.7</v>
      </c>
      <c r="N45" s="1">
        <v>2</v>
      </c>
      <c r="O45" s="1">
        <v>478</v>
      </c>
      <c r="P45" s="1">
        <v>24.4</v>
      </c>
      <c r="Q45" s="8">
        <v>0</v>
      </c>
      <c r="R45" s="8">
        <v>0</v>
      </c>
      <c r="S45" s="1">
        <v>0</v>
      </c>
      <c r="T45" s="8">
        <v>0</v>
      </c>
      <c r="U45" s="9">
        <f t="shared" si="1"/>
        <v>0</v>
      </c>
    </row>
    <row r="46" spans="1:21" x14ac:dyDescent="0.3">
      <c r="A46" s="1" t="s">
        <v>119</v>
      </c>
      <c r="B46" s="1" t="s">
        <v>114</v>
      </c>
      <c r="C46" s="1" t="s">
        <v>97</v>
      </c>
      <c r="D46" s="1" t="s">
        <v>98</v>
      </c>
      <c r="E46" s="7">
        <v>74210864</v>
      </c>
      <c r="F46" s="1" t="s">
        <v>10</v>
      </c>
      <c r="G46" s="1" t="s">
        <v>99</v>
      </c>
      <c r="H46" s="1" t="s">
        <v>105</v>
      </c>
      <c r="I46" s="1">
        <v>934</v>
      </c>
      <c r="J46" s="1">
        <v>68</v>
      </c>
      <c r="K46" s="1">
        <v>299</v>
      </c>
      <c r="L46" s="10">
        <v>238</v>
      </c>
      <c r="M46" s="1">
        <v>4.7</v>
      </c>
      <c r="N46" s="1">
        <v>3</v>
      </c>
      <c r="O46" s="1">
        <v>776</v>
      </c>
      <c r="P46" s="1">
        <v>25.799999999999997</v>
      </c>
      <c r="Q46" s="8">
        <v>0</v>
      </c>
      <c r="R46" s="8">
        <v>0</v>
      </c>
      <c r="S46" s="1">
        <v>0</v>
      </c>
      <c r="T46" s="8">
        <v>0</v>
      </c>
      <c r="U46" s="9">
        <f t="shared" si="1"/>
        <v>0</v>
      </c>
    </row>
    <row r="47" spans="1:21" x14ac:dyDescent="0.3">
      <c r="A47" s="1" t="s">
        <v>119</v>
      </c>
      <c r="B47" s="1" t="s">
        <v>114</v>
      </c>
      <c r="C47" s="1" t="s">
        <v>106</v>
      </c>
      <c r="D47" s="1" t="s">
        <v>107</v>
      </c>
      <c r="E47" s="7">
        <v>74268606</v>
      </c>
      <c r="F47" s="1" t="s">
        <v>10</v>
      </c>
      <c r="G47" s="1" t="s">
        <v>99</v>
      </c>
      <c r="H47" s="1" t="s">
        <v>108</v>
      </c>
      <c r="I47" s="9">
        <v>1016</v>
      </c>
      <c r="J47" s="1">
        <v>69</v>
      </c>
      <c r="K47" s="1">
        <v>315</v>
      </c>
      <c r="L47" s="10">
        <v>277</v>
      </c>
      <c r="M47" s="1">
        <v>4.5</v>
      </c>
      <c r="N47" s="1">
        <v>7</v>
      </c>
      <c r="O47" s="1">
        <v>2343</v>
      </c>
      <c r="P47" s="1">
        <v>49</v>
      </c>
      <c r="Q47" s="8">
        <v>0</v>
      </c>
      <c r="R47" s="8">
        <v>0</v>
      </c>
      <c r="S47" s="1">
        <v>0</v>
      </c>
      <c r="T47" s="8">
        <v>0</v>
      </c>
      <c r="U47" s="9">
        <f t="shared" si="1"/>
        <v>0</v>
      </c>
    </row>
    <row r="48" spans="1:21" x14ac:dyDescent="0.3">
      <c r="A48" s="1" t="s">
        <v>120</v>
      </c>
      <c r="B48" s="1" t="s">
        <v>114</v>
      </c>
      <c r="C48" s="1" t="s">
        <v>97</v>
      </c>
      <c r="D48" s="1" t="s">
        <v>98</v>
      </c>
      <c r="E48" s="7">
        <v>74210863</v>
      </c>
      <c r="F48" s="1" t="s">
        <v>10</v>
      </c>
      <c r="G48" s="1" t="s">
        <v>99</v>
      </c>
      <c r="H48" s="1" t="s">
        <v>100</v>
      </c>
      <c r="I48" s="1">
        <v>955</v>
      </c>
      <c r="J48" s="1">
        <v>75</v>
      </c>
      <c r="K48" s="1">
        <v>239</v>
      </c>
      <c r="L48" s="10">
        <v>238</v>
      </c>
      <c r="M48" s="1">
        <v>4.7</v>
      </c>
      <c r="N48" s="1">
        <v>4</v>
      </c>
      <c r="O48" s="1">
        <v>955</v>
      </c>
      <c r="P48" s="1">
        <v>34.4</v>
      </c>
      <c r="Q48" s="8">
        <v>0</v>
      </c>
      <c r="R48" s="8">
        <v>0</v>
      </c>
      <c r="S48" s="1">
        <v>0</v>
      </c>
      <c r="T48" s="1">
        <v>4</v>
      </c>
      <c r="U48" s="9">
        <f t="shared" si="1"/>
        <v>952</v>
      </c>
    </row>
    <row r="49" spans="1:21" x14ac:dyDescent="0.3">
      <c r="A49" s="1" t="s">
        <v>120</v>
      </c>
      <c r="B49" s="1" t="s">
        <v>114</v>
      </c>
      <c r="C49" s="1" t="s">
        <v>101</v>
      </c>
      <c r="D49" s="1" t="s">
        <v>102</v>
      </c>
      <c r="E49" s="7">
        <v>40557118</v>
      </c>
      <c r="F49" s="1" t="s">
        <v>24</v>
      </c>
      <c r="G49" s="1" t="s">
        <v>99</v>
      </c>
      <c r="H49" s="1" t="s">
        <v>103</v>
      </c>
      <c r="I49" s="8">
        <v>0</v>
      </c>
      <c r="J49" s="8">
        <v>0</v>
      </c>
      <c r="K49" s="8">
        <v>0</v>
      </c>
      <c r="L49" s="10"/>
      <c r="M49" s="8">
        <v>0</v>
      </c>
      <c r="N49" s="8">
        <v>0</v>
      </c>
      <c r="O49" s="8">
        <v>0</v>
      </c>
      <c r="P49" s="1">
        <v>0</v>
      </c>
      <c r="Q49" s="8">
        <v>0</v>
      </c>
      <c r="R49" s="8">
        <v>0</v>
      </c>
      <c r="S49" s="1">
        <v>0</v>
      </c>
      <c r="T49" s="1">
        <v>1</v>
      </c>
      <c r="U49" s="9">
        <f t="shared" si="1"/>
        <v>0</v>
      </c>
    </row>
    <row r="50" spans="1:21" x14ac:dyDescent="0.3">
      <c r="A50" s="1" t="s">
        <v>120</v>
      </c>
      <c r="B50" s="1" t="s">
        <v>114</v>
      </c>
      <c r="C50" s="1" t="s">
        <v>97</v>
      </c>
      <c r="D50" s="1" t="s">
        <v>98</v>
      </c>
      <c r="E50" s="7">
        <v>74210862</v>
      </c>
      <c r="F50" s="1" t="s">
        <v>10</v>
      </c>
      <c r="G50" s="1" t="s">
        <v>99</v>
      </c>
      <c r="H50" s="1" t="s">
        <v>104</v>
      </c>
      <c r="I50" s="1">
        <v>955</v>
      </c>
      <c r="J50" s="1">
        <v>75</v>
      </c>
      <c r="K50" s="1">
        <v>239</v>
      </c>
      <c r="L50" s="10">
        <v>238</v>
      </c>
      <c r="M50" s="1">
        <v>4.7</v>
      </c>
      <c r="N50" s="1">
        <v>3</v>
      </c>
      <c r="O50" s="1">
        <v>716</v>
      </c>
      <c r="P50" s="1">
        <v>36.599999999999994</v>
      </c>
      <c r="Q50" s="8">
        <v>0</v>
      </c>
      <c r="R50" s="8">
        <v>0</v>
      </c>
      <c r="S50" s="1">
        <v>0</v>
      </c>
      <c r="T50" s="1">
        <v>2</v>
      </c>
      <c r="U50" s="9">
        <f t="shared" si="1"/>
        <v>476</v>
      </c>
    </row>
    <row r="51" spans="1:21" x14ac:dyDescent="0.3">
      <c r="A51" s="1" t="s">
        <v>120</v>
      </c>
      <c r="B51" s="1" t="s">
        <v>114</v>
      </c>
      <c r="C51" s="1" t="s">
        <v>97</v>
      </c>
      <c r="D51" s="1" t="s">
        <v>98</v>
      </c>
      <c r="E51" s="7">
        <v>74210864</v>
      </c>
      <c r="F51" s="1" t="s">
        <v>10</v>
      </c>
      <c r="G51" s="1" t="s">
        <v>99</v>
      </c>
      <c r="H51" s="1" t="s">
        <v>105</v>
      </c>
      <c r="I51" s="1">
        <v>955</v>
      </c>
      <c r="J51" s="1">
        <v>75</v>
      </c>
      <c r="K51" s="1">
        <v>239</v>
      </c>
      <c r="L51" s="10">
        <v>238</v>
      </c>
      <c r="M51" s="1">
        <v>4.7</v>
      </c>
      <c r="N51" s="1">
        <v>1</v>
      </c>
      <c r="O51" s="1">
        <v>239</v>
      </c>
      <c r="P51" s="1">
        <v>8.6</v>
      </c>
      <c r="Q51" s="8">
        <v>0</v>
      </c>
      <c r="R51" s="8">
        <v>0</v>
      </c>
      <c r="S51" s="1">
        <v>0</v>
      </c>
      <c r="T51" s="1">
        <v>1</v>
      </c>
      <c r="U51" s="9">
        <f t="shared" si="1"/>
        <v>238</v>
      </c>
    </row>
    <row r="52" spans="1:21" x14ac:dyDescent="0.3">
      <c r="A52" s="1" t="s">
        <v>120</v>
      </c>
      <c r="B52" s="1" t="s">
        <v>114</v>
      </c>
      <c r="C52" s="1" t="s">
        <v>106</v>
      </c>
      <c r="D52" s="1" t="s">
        <v>107</v>
      </c>
      <c r="E52" s="7">
        <v>74268606</v>
      </c>
      <c r="F52" s="1" t="s">
        <v>10</v>
      </c>
      <c r="G52" s="1" t="s">
        <v>99</v>
      </c>
      <c r="H52" s="1" t="s">
        <v>108</v>
      </c>
      <c r="I52" s="9">
        <v>1016</v>
      </c>
      <c r="J52" s="1">
        <v>69</v>
      </c>
      <c r="K52" s="1">
        <v>315</v>
      </c>
      <c r="L52" s="10">
        <v>277</v>
      </c>
      <c r="M52" s="1">
        <v>4.5</v>
      </c>
      <c r="N52" s="1">
        <v>6</v>
      </c>
      <c r="O52" s="1">
        <v>2110</v>
      </c>
      <c r="P52" s="1">
        <v>42</v>
      </c>
      <c r="Q52" s="8">
        <v>0</v>
      </c>
      <c r="R52" s="8">
        <v>0</v>
      </c>
      <c r="S52" s="1">
        <v>0</v>
      </c>
      <c r="T52" s="1">
        <v>10</v>
      </c>
      <c r="U52" s="9">
        <f t="shared" si="1"/>
        <v>2770</v>
      </c>
    </row>
    <row r="53" spans="1:21" x14ac:dyDescent="0.3">
      <c r="A53" s="1" t="s">
        <v>121</v>
      </c>
      <c r="B53" s="1" t="s">
        <v>122</v>
      </c>
      <c r="C53" s="1" t="s">
        <v>97</v>
      </c>
      <c r="D53" s="1" t="s">
        <v>98</v>
      </c>
      <c r="E53" s="7">
        <v>74210863</v>
      </c>
      <c r="F53" s="1" t="s">
        <v>10</v>
      </c>
      <c r="G53" s="1" t="s">
        <v>99</v>
      </c>
      <c r="H53" s="1" t="s">
        <v>100</v>
      </c>
      <c r="I53" s="1">
        <v>955</v>
      </c>
      <c r="J53" s="1">
        <v>75</v>
      </c>
      <c r="K53" s="1">
        <v>239</v>
      </c>
      <c r="L53" s="10">
        <v>238</v>
      </c>
      <c r="M53" s="1">
        <v>4.7</v>
      </c>
      <c r="N53" s="1">
        <v>4</v>
      </c>
      <c r="O53" s="1">
        <v>955</v>
      </c>
      <c r="P53" s="1">
        <v>34.4</v>
      </c>
      <c r="Q53" s="8">
        <v>0</v>
      </c>
      <c r="R53" s="8">
        <v>0</v>
      </c>
      <c r="S53" s="1">
        <v>0</v>
      </c>
      <c r="T53" s="8">
        <v>0</v>
      </c>
      <c r="U53" s="9">
        <f t="shared" si="1"/>
        <v>0</v>
      </c>
    </row>
    <row r="54" spans="1:21" x14ac:dyDescent="0.3">
      <c r="A54" s="1" t="s">
        <v>121</v>
      </c>
      <c r="B54" s="1" t="s">
        <v>122</v>
      </c>
      <c r="C54" s="1" t="s">
        <v>101</v>
      </c>
      <c r="D54" s="1" t="s">
        <v>102</v>
      </c>
      <c r="E54" s="7">
        <v>40557118</v>
      </c>
      <c r="F54" s="1" t="s">
        <v>24</v>
      </c>
      <c r="G54" s="1" t="s">
        <v>99</v>
      </c>
      <c r="H54" s="1" t="s">
        <v>103</v>
      </c>
      <c r="I54" s="8">
        <v>0</v>
      </c>
      <c r="J54" s="8">
        <v>0</v>
      </c>
      <c r="K54" s="8">
        <v>0</v>
      </c>
      <c r="L54" s="10"/>
      <c r="M54" s="8">
        <v>0</v>
      </c>
      <c r="N54" s="8">
        <v>0</v>
      </c>
      <c r="O54" s="8">
        <v>0</v>
      </c>
      <c r="P54" s="1">
        <v>0</v>
      </c>
      <c r="Q54" s="8">
        <v>0</v>
      </c>
      <c r="R54" s="8">
        <v>0</v>
      </c>
      <c r="S54" s="1">
        <v>0</v>
      </c>
      <c r="T54" s="1">
        <v>1</v>
      </c>
      <c r="U54" s="9">
        <f t="shared" si="1"/>
        <v>0</v>
      </c>
    </row>
    <row r="55" spans="1:21" x14ac:dyDescent="0.3">
      <c r="A55" s="1" t="s">
        <v>121</v>
      </c>
      <c r="B55" s="1" t="s">
        <v>122</v>
      </c>
      <c r="C55" s="1" t="s">
        <v>97</v>
      </c>
      <c r="D55" s="1" t="s">
        <v>98</v>
      </c>
      <c r="E55" s="7">
        <v>74210862</v>
      </c>
      <c r="F55" s="1" t="s">
        <v>10</v>
      </c>
      <c r="G55" s="1" t="s">
        <v>99</v>
      </c>
      <c r="H55" s="1" t="s">
        <v>104</v>
      </c>
      <c r="I55" s="1">
        <v>955</v>
      </c>
      <c r="J55" s="1">
        <v>75</v>
      </c>
      <c r="K55" s="1">
        <v>239</v>
      </c>
      <c r="L55" s="10">
        <v>238</v>
      </c>
      <c r="M55" s="1">
        <v>4.7</v>
      </c>
      <c r="N55" s="1">
        <v>5</v>
      </c>
      <c r="O55" s="1">
        <v>1194</v>
      </c>
      <c r="P55" s="1">
        <v>61</v>
      </c>
      <c r="Q55" s="8">
        <v>0</v>
      </c>
      <c r="R55" s="8">
        <v>0</v>
      </c>
      <c r="S55" s="1">
        <v>0</v>
      </c>
      <c r="T55" s="1">
        <v>1</v>
      </c>
      <c r="U55" s="9">
        <f t="shared" si="1"/>
        <v>238</v>
      </c>
    </row>
    <row r="56" spans="1:21" x14ac:dyDescent="0.3">
      <c r="A56" s="1" t="s">
        <v>121</v>
      </c>
      <c r="B56" s="1" t="s">
        <v>122</v>
      </c>
      <c r="C56" s="1" t="s">
        <v>97</v>
      </c>
      <c r="D56" s="1" t="s">
        <v>98</v>
      </c>
      <c r="E56" s="7">
        <v>74210864</v>
      </c>
      <c r="F56" s="1" t="s">
        <v>10</v>
      </c>
      <c r="G56" s="1" t="s">
        <v>99</v>
      </c>
      <c r="H56" s="1" t="s">
        <v>105</v>
      </c>
      <c r="I56" s="1">
        <v>955</v>
      </c>
      <c r="J56" s="1">
        <v>75</v>
      </c>
      <c r="K56" s="1">
        <v>239</v>
      </c>
      <c r="L56" s="10">
        <v>238</v>
      </c>
      <c r="M56" s="1">
        <v>4.7</v>
      </c>
      <c r="N56" s="1">
        <v>3</v>
      </c>
      <c r="O56" s="1">
        <v>793</v>
      </c>
      <c r="P56" s="1">
        <v>25.799999999999997</v>
      </c>
      <c r="Q56" s="8">
        <v>0</v>
      </c>
      <c r="R56" s="8">
        <v>0</v>
      </c>
      <c r="S56" s="1">
        <v>0</v>
      </c>
      <c r="T56" s="1">
        <v>3</v>
      </c>
      <c r="U56" s="9">
        <f t="shared" si="1"/>
        <v>714</v>
      </c>
    </row>
    <row r="57" spans="1:21" x14ac:dyDescent="0.3">
      <c r="A57" s="1" t="s">
        <v>121</v>
      </c>
      <c r="B57" s="1" t="s">
        <v>122</v>
      </c>
      <c r="C57" s="1" t="s">
        <v>106</v>
      </c>
      <c r="D57" s="1" t="s">
        <v>107</v>
      </c>
      <c r="E57" s="7">
        <v>74268606</v>
      </c>
      <c r="F57" s="1" t="s">
        <v>10</v>
      </c>
      <c r="G57" s="1" t="s">
        <v>99</v>
      </c>
      <c r="H57" s="1" t="s">
        <v>108</v>
      </c>
      <c r="I57" s="9">
        <v>1027</v>
      </c>
      <c r="J57" s="1">
        <v>67</v>
      </c>
      <c r="K57" s="1">
        <v>339</v>
      </c>
      <c r="L57" s="10">
        <v>277</v>
      </c>
      <c r="M57" s="1">
        <v>4.5</v>
      </c>
      <c r="N57" s="1">
        <v>14</v>
      </c>
      <c r="O57" s="1">
        <v>4286</v>
      </c>
      <c r="P57" s="1">
        <v>98</v>
      </c>
      <c r="Q57" s="8">
        <v>0</v>
      </c>
      <c r="R57" s="8">
        <v>0</v>
      </c>
      <c r="S57" s="1">
        <v>0</v>
      </c>
      <c r="T57" s="1">
        <v>5</v>
      </c>
      <c r="U57" s="9">
        <f t="shared" si="1"/>
        <v>1385</v>
      </c>
    </row>
    <row r="58" spans="1:21" x14ac:dyDescent="0.3">
      <c r="A58" s="1" t="s">
        <v>123</v>
      </c>
      <c r="B58" s="1" t="s">
        <v>122</v>
      </c>
      <c r="C58" s="1" t="s">
        <v>97</v>
      </c>
      <c r="D58" s="1" t="s">
        <v>98</v>
      </c>
      <c r="E58" s="7">
        <v>74210863</v>
      </c>
      <c r="F58" s="1" t="s">
        <v>10</v>
      </c>
      <c r="G58" s="1" t="s">
        <v>99</v>
      </c>
      <c r="H58" s="1" t="s">
        <v>100</v>
      </c>
      <c r="I58" s="1">
        <v>955</v>
      </c>
      <c r="J58" s="1">
        <v>75</v>
      </c>
      <c r="K58" s="1">
        <v>239</v>
      </c>
      <c r="L58" s="10">
        <v>238</v>
      </c>
      <c r="M58" s="1">
        <v>4.7</v>
      </c>
      <c r="N58" s="1">
        <v>5</v>
      </c>
      <c r="O58" s="1">
        <v>1194</v>
      </c>
      <c r="P58" s="1">
        <v>43</v>
      </c>
      <c r="Q58" s="8">
        <v>0</v>
      </c>
      <c r="R58" s="8">
        <v>0</v>
      </c>
      <c r="S58" s="1">
        <v>0</v>
      </c>
      <c r="T58" s="1">
        <v>3</v>
      </c>
      <c r="U58" s="9">
        <f t="shared" si="1"/>
        <v>714</v>
      </c>
    </row>
    <row r="59" spans="1:21" x14ac:dyDescent="0.3">
      <c r="A59" s="1" t="s">
        <v>123</v>
      </c>
      <c r="B59" s="1" t="s">
        <v>122</v>
      </c>
      <c r="C59" s="1" t="s">
        <v>101</v>
      </c>
      <c r="D59" s="1" t="s">
        <v>102</v>
      </c>
      <c r="E59" s="7">
        <v>40557118</v>
      </c>
      <c r="F59" s="1" t="s">
        <v>24</v>
      </c>
      <c r="G59" s="1" t="s">
        <v>99</v>
      </c>
      <c r="H59" s="1" t="s">
        <v>103</v>
      </c>
      <c r="I59" s="9">
        <v>1229</v>
      </c>
      <c r="J59" s="1">
        <v>55</v>
      </c>
      <c r="K59" s="1">
        <v>553</v>
      </c>
      <c r="L59" s="10"/>
      <c r="M59" s="8">
        <v>0</v>
      </c>
      <c r="N59" s="1">
        <v>1</v>
      </c>
      <c r="O59" s="1">
        <v>553</v>
      </c>
      <c r="P59" s="1">
        <v>9</v>
      </c>
      <c r="Q59" s="8">
        <v>0</v>
      </c>
      <c r="R59" s="8">
        <v>0</v>
      </c>
      <c r="S59" s="1">
        <v>0</v>
      </c>
      <c r="T59" s="1">
        <v>1</v>
      </c>
      <c r="U59" s="9">
        <f t="shared" si="1"/>
        <v>0</v>
      </c>
    </row>
    <row r="60" spans="1:21" x14ac:dyDescent="0.3">
      <c r="A60" s="1" t="s">
        <v>123</v>
      </c>
      <c r="B60" s="1" t="s">
        <v>122</v>
      </c>
      <c r="C60" s="1" t="s">
        <v>97</v>
      </c>
      <c r="D60" s="1" t="s">
        <v>98</v>
      </c>
      <c r="E60" s="7">
        <v>74210862</v>
      </c>
      <c r="F60" s="1" t="s">
        <v>10</v>
      </c>
      <c r="G60" s="1" t="s">
        <v>99</v>
      </c>
      <c r="H60" s="1" t="s">
        <v>104</v>
      </c>
      <c r="I60" s="1">
        <v>955</v>
      </c>
      <c r="J60" s="1">
        <v>75</v>
      </c>
      <c r="K60" s="1">
        <v>239</v>
      </c>
      <c r="L60" s="10">
        <v>238</v>
      </c>
      <c r="M60" s="1">
        <v>4.7</v>
      </c>
      <c r="N60" s="1">
        <v>4</v>
      </c>
      <c r="O60" s="1">
        <v>1031</v>
      </c>
      <c r="P60" s="1">
        <v>48.8</v>
      </c>
      <c r="Q60" s="8">
        <v>0</v>
      </c>
      <c r="R60" s="8">
        <v>0</v>
      </c>
      <c r="S60" s="1">
        <v>0</v>
      </c>
      <c r="T60" s="1">
        <v>12</v>
      </c>
      <c r="U60" s="9">
        <f t="shared" si="1"/>
        <v>2856</v>
      </c>
    </row>
    <row r="61" spans="1:21" x14ac:dyDescent="0.3">
      <c r="A61" s="1" t="s">
        <v>123</v>
      </c>
      <c r="B61" s="1" t="s">
        <v>122</v>
      </c>
      <c r="C61" s="1" t="s">
        <v>97</v>
      </c>
      <c r="D61" s="1" t="s">
        <v>98</v>
      </c>
      <c r="E61" s="7">
        <v>74210864</v>
      </c>
      <c r="F61" s="1" t="s">
        <v>10</v>
      </c>
      <c r="G61" s="1" t="s">
        <v>99</v>
      </c>
      <c r="H61" s="1" t="s">
        <v>105</v>
      </c>
      <c r="I61" s="1">
        <v>955</v>
      </c>
      <c r="J61" s="1">
        <v>75</v>
      </c>
      <c r="K61" s="1">
        <v>239</v>
      </c>
      <c r="L61" s="10">
        <v>238</v>
      </c>
      <c r="M61" s="1">
        <v>4.7</v>
      </c>
      <c r="N61" s="1">
        <v>4</v>
      </c>
      <c r="O61" s="1">
        <v>955</v>
      </c>
      <c r="P61" s="1">
        <v>34.4</v>
      </c>
      <c r="Q61" s="8">
        <v>0</v>
      </c>
      <c r="R61" s="8">
        <v>0</v>
      </c>
      <c r="S61" s="1">
        <v>0</v>
      </c>
      <c r="T61" s="1">
        <v>3</v>
      </c>
      <c r="U61" s="9">
        <f t="shared" si="1"/>
        <v>714</v>
      </c>
    </row>
    <row r="62" spans="1:21" x14ac:dyDescent="0.3">
      <c r="A62" s="1" t="s">
        <v>123</v>
      </c>
      <c r="B62" s="1" t="s">
        <v>122</v>
      </c>
      <c r="C62" s="1" t="s">
        <v>106</v>
      </c>
      <c r="D62" s="1" t="s">
        <v>107</v>
      </c>
      <c r="E62" s="7">
        <v>74268606</v>
      </c>
      <c r="F62" s="1" t="s">
        <v>10</v>
      </c>
      <c r="G62" s="1" t="s">
        <v>99</v>
      </c>
      <c r="H62" s="1" t="s">
        <v>108</v>
      </c>
      <c r="I62" s="9">
        <v>1026</v>
      </c>
      <c r="J62" s="1">
        <v>73</v>
      </c>
      <c r="K62" s="1">
        <v>277</v>
      </c>
      <c r="L62" s="10">
        <v>277</v>
      </c>
      <c r="M62" s="1">
        <v>4.5</v>
      </c>
      <c r="N62" s="1">
        <v>11</v>
      </c>
      <c r="O62" s="1">
        <v>3047</v>
      </c>
      <c r="P62" s="1">
        <v>77</v>
      </c>
      <c r="Q62" s="8">
        <v>0</v>
      </c>
      <c r="R62" s="8">
        <v>0</v>
      </c>
      <c r="S62" s="1">
        <v>0</v>
      </c>
      <c r="T62" s="1">
        <v>11</v>
      </c>
      <c r="U62" s="9">
        <f t="shared" si="1"/>
        <v>3047</v>
      </c>
    </row>
  </sheetData>
  <autoFilter ref="A1:U62" xr:uid="{433855D3-2178-44A1-B58A-E8B9AE631D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Анастасия Васильева</cp:lastModifiedBy>
  <dcterms:created xsi:type="dcterms:W3CDTF">2023-01-20T13:42:16Z</dcterms:created>
  <dcterms:modified xsi:type="dcterms:W3CDTF">2026-02-05T06:28:56Z</dcterms:modified>
</cp:coreProperties>
</file>